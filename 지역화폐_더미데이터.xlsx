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USER" sheetId="2" state="visible" r:id="rId4"/>
    <sheet name="02_LOCAL_ACCOUNT" sheetId="3" state="visible" r:id="rId5"/>
    <sheet name="03_CASHBACK_ACCOUNT" sheetId="4" state="visible" r:id="rId6"/>
    <sheet name="04_RECHARGE_TRANSACTION" sheetId="5" state="visible" r:id="rId7"/>
    <sheet name="05_PAYMENT_TRANSACTION" sheetId="6" state="visible" r:id="rId8"/>
    <sheet name="06_BUDGET_MASTER" sheetId="7" state="visible" r:id="rId9"/>
    <sheet name="07_BUDGET_REGION" sheetId="8" state="visible" r:id="rId10"/>
    <sheet name="08_BUDGET_REGION_APPLY" sheetId="9" state="visible" r:id="rId11"/>
    <sheet name="09_USER_LIMIT_MANAGEMENT" sheetId="10" state="visible" r:id="rId12"/>
    <sheet name="10_MERCHANT" sheetId="11" state="visible" r:id="rId13"/>
    <sheet name="11_SETTLEMENT_DAILY" sheetId="12" state="visible" r:id="rId14"/>
    <sheet name="12_CHANNEL_USER_LOG" sheetId="13" state="visible" r:id="rId15"/>
    <sheet name="13_EXTERNAL_TELEGRAM_LOG" sheetId="14" state="visible" r:id="rId16"/>
    <sheet name="99_정합성검증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<sst xmlns="http://schemas.openxmlformats.org/spreadsheetml/2006/main" count="671" uniqueCount="372">
  <si>
    <t xml:space="preserve">지역화폐 통합 시스템 — 테이블별 더미데이터</t>
  </si>
  <si>
    <t xml:space="preserve">데이터 성격</t>
  </si>
  <si>
    <r>
      <rPr>
        <sz val="10"/>
        <rFont val="Noto Sans CJK SC"/>
        <family val="2"/>
      </rPr>
      <t xml:space="preserve">임의 값이 아니라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아래 규칙대로 거래를 시간순 시뮬레이션해 생성한 값입니다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잔액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한도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예산 컬럼이 거래내역과 실제로 일치합니다</t>
    </r>
    <r>
      <rPr>
        <sz val="10"/>
        <rFont val="Arial"/>
        <family val="0"/>
        <charset val="1"/>
      </rPr>
      <t xml:space="preserve">.</t>
    </r>
  </si>
  <si>
    <t xml:space="preserve">데이터 기간</t>
  </si>
  <si>
    <r>
      <rPr>
        <sz val="10"/>
        <rFont val="Arial"/>
        <family val="0"/>
        <charset val="1"/>
      </rPr>
      <t xml:space="preserve">2026-08-03 ~ 2026-09-06 (</t>
    </r>
    <r>
      <rPr>
        <sz val="10"/>
        <rFont val="Noto Sans CJK SC"/>
        <family val="2"/>
      </rPr>
      <t xml:space="preserve">기준일 </t>
    </r>
    <r>
      <rPr>
        <sz val="10"/>
        <rFont val="Arial"/>
        <family val="0"/>
        <charset val="1"/>
      </rPr>
      <t xml:space="preserve">2026-09-17)</t>
    </r>
  </si>
  <si>
    <t xml:space="preserve">지역</t>
  </si>
  <si>
    <r>
      <rPr>
        <sz val="10"/>
        <rFont val="Noto Sans CJK SC"/>
        <family val="2"/>
      </rPr>
      <t xml:space="preserve">서울특별시</t>
    </r>
    <r>
      <rPr>
        <sz val="10"/>
        <rFont val="Arial"/>
        <family val="0"/>
        <charset val="1"/>
      </rPr>
      <t xml:space="preserve">(11000) · </t>
    </r>
    <r>
      <rPr>
        <sz val="10"/>
        <rFont val="Noto Sans CJK SC"/>
        <family val="2"/>
      </rPr>
      <t xml:space="preserve">부산광역시</t>
    </r>
    <r>
      <rPr>
        <sz val="10"/>
        <rFont val="Arial"/>
        <family val="0"/>
        <charset val="1"/>
      </rPr>
      <t xml:space="preserve">(26000) · </t>
    </r>
    <r>
      <rPr>
        <sz val="10"/>
        <rFont val="Noto Sans CJK SC"/>
        <family val="2"/>
      </rPr>
      <t xml:space="preserve">울산광역시</t>
    </r>
    <r>
      <rPr>
        <sz val="10"/>
        <rFont val="Arial"/>
        <family val="0"/>
        <charset val="1"/>
      </rPr>
      <t xml:space="preserve">(31000) · </t>
    </r>
    <r>
      <rPr>
        <sz val="10"/>
        <rFont val="Noto Sans CJK SC"/>
        <family val="2"/>
      </rPr>
      <t xml:space="preserve">경기도 고양시</t>
    </r>
    <r>
      <rPr>
        <sz val="10"/>
        <rFont val="Arial"/>
        <family val="0"/>
        <charset val="1"/>
      </rPr>
      <t xml:space="preserve">(41280) 4</t>
    </r>
    <r>
      <rPr>
        <sz val="10"/>
        <rFont val="Noto Sans CJK SC"/>
        <family val="2"/>
      </rPr>
      <t xml:space="preserve">개 지자체</t>
    </r>
  </si>
  <si>
    <t xml:space="preserve">규모</t>
  </si>
  <si>
    <r>
      <rPr>
        <sz val="10"/>
        <rFont val="Noto Sans CJK SC"/>
        <family val="2"/>
      </rPr>
      <t xml:space="preserve">고객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계좌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가맹점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곳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충전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결제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취소 역분개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 포함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건</t>
    </r>
  </si>
  <si>
    <r>
      <rPr>
        <b val="true"/>
        <sz val="11"/>
        <color rgb="FFC00000"/>
        <rFont val="Noto Sans CJK SC"/>
        <family val="2"/>
      </rPr>
      <t xml:space="preserve">■ 결제 처리 규칙 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핵심</t>
    </r>
    <r>
      <rPr>
        <b val="true"/>
        <sz val="11"/>
        <color rgb="FFC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</si>
  <si>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1) </t>
    </r>
    <r>
      <rPr>
        <b val="true"/>
        <sz val="10"/>
        <rFont val="Noto Sans CJK SC"/>
        <family val="2"/>
      </rPr>
      <t xml:space="preserve">캐시백 우선 차감</t>
    </r>
  </si>
  <si>
    <r>
      <rPr>
        <sz val="10"/>
        <rFont val="Arial"/>
        <family val="0"/>
        <charset val="1"/>
      </rPr>
      <t xml:space="preserve">use_cashback_amt = MIN(</t>
    </r>
    <r>
      <rPr>
        <sz val="10"/>
        <rFont val="Noto Sans CJK SC"/>
        <family val="2"/>
      </rPr>
      <t xml:space="preserve">캐시백잔액</t>
    </r>
    <r>
      <rPr>
        <sz val="10"/>
        <rFont val="Arial"/>
        <family val="0"/>
        <charset val="1"/>
      </rPr>
      <t xml:space="preserve">, total_tx_amt)</t>
    </r>
  </si>
  <si>
    <r>
      <rPr>
        <b val="true"/>
        <sz val="10"/>
        <rFont val="Arial"/>
        <family val="0"/>
        <charset val="1"/>
      </rPr>
      <t xml:space="preserve">2) </t>
    </r>
    <r>
      <rPr>
        <b val="true"/>
        <sz val="10"/>
        <rFont val="Noto Sans CJK SC"/>
        <family val="2"/>
      </rPr>
      <t xml:space="preserve">잔여분 실충전금 차감</t>
    </r>
  </si>
  <si>
    <t xml:space="preserve">pay_cash_amt = total_tx_amt - use_cashback_amt</t>
  </si>
  <si>
    <r>
      <rPr>
        <b val="true"/>
        <sz val="10"/>
        <rFont val="Arial"/>
        <family val="0"/>
        <charset val="1"/>
      </rPr>
      <t xml:space="preserve">3) </t>
    </r>
    <r>
      <rPr>
        <b val="true"/>
        <sz val="10"/>
        <rFont val="Noto Sans CJK SC"/>
        <family val="2"/>
      </rPr>
      <t xml:space="preserve">캐시백 적립</t>
    </r>
  </si>
  <si>
    <r>
      <rPr>
        <sz val="10"/>
        <rFont val="Arial"/>
        <family val="0"/>
        <charset val="1"/>
      </rPr>
      <t xml:space="preserve">earn_cashback_amt = INT(pay_cash_amt × </t>
    </r>
    <r>
      <rPr>
        <sz val="10"/>
        <rFont val="Noto Sans CJK SC"/>
        <family val="2"/>
      </rPr>
      <t xml:space="preserve">지역캐시백요율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캐시백으로 결제한 금액은 재적립 대상 제외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</si>
  <si>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4) </t>
    </r>
    <r>
      <rPr>
        <b val="true"/>
        <sz val="10"/>
        <rFont val="Noto Sans CJK SC"/>
        <family val="2"/>
      </rPr>
      <t xml:space="preserve">월 한도 캡</t>
    </r>
  </si>
  <si>
    <r>
      <rPr>
        <sz val="10"/>
        <rFont val="Arial"/>
        <family val="0"/>
        <charset val="1"/>
      </rPr>
      <t xml:space="preserve">earn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(BUDGET_REGION.individual_cashback_limit − </t>
    </r>
    <r>
      <rPr>
        <sz val="10"/>
        <rFont val="Noto Sans CJK SC"/>
        <family val="2"/>
      </rPr>
      <t xml:space="preserve">당월 누적적립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넘지 못함</t>
    </r>
  </si>
  <si>
    <r>
      <rPr>
        <b val="true"/>
        <sz val="10"/>
        <rFont val="Arial"/>
        <family val="0"/>
        <charset val="1"/>
      </rPr>
      <t xml:space="preserve">5) </t>
    </r>
    <r>
      <rPr>
        <b val="true"/>
        <sz val="10"/>
        <rFont val="Noto Sans CJK SC"/>
        <family val="2"/>
      </rPr>
      <t xml:space="preserve">원 단위 절사</t>
    </r>
  </si>
  <si>
    <r>
      <rPr>
        <sz val="10"/>
        <rFont val="Noto Sans CJK SC"/>
        <family val="2"/>
      </rPr>
      <t xml:space="preserve">적립 계산은 소수점 버림</t>
    </r>
    <r>
      <rPr>
        <sz val="10"/>
        <rFont val="Arial"/>
        <family val="0"/>
        <charset val="1"/>
      </rPr>
      <t xml:space="preserve">(INT). DB </t>
    </r>
    <r>
      <rPr>
        <sz val="10"/>
        <rFont val="Noto Sans CJK SC"/>
        <family val="2"/>
      </rPr>
      <t xml:space="preserve">타입은 </t>
    </r>
    <r>
      <rPr>
        <sz val="10"/>
        <rFont val="Arial"/>
        <family val="0"/>
        <charset val="1"/>
      </rPr>
      <t xml:space="preserve">DECIMAL</t>
    </r>
    <r>
      <rPr>
        <sz val="10"/>
        <rFont val="Noto Sans CJK SC"/>
        <family val="2"/>
      </rPr>
      <t xml:space="preserve">이지만 적립액은 정수만 발생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</si>
  <si>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6) </t>
    </r>
    <r>
      <rPr>
        <b val="true"/>
        <sz val="10"/>
        <rFont val="Noto Sans CJK SC"/>
        <family val="2"/>
      </rPr>
      <t xml:space="preserve">취소</t>
    </r>
  </si>
  <si>
    <r>
      <rPr>
        <sz val="10"/>
        <rFont val="Noto Sans CJK SC"/>
        <family val="2"/>
      </rPr>
      <t xml:space="preserve">원거래를 취소완료로 바꾸고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 금액이 음수인 취소 행을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추가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역분개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캐시백 적립분 회수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사용분 복원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</si>
  <si>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color rgb="FFC00000"/>
        <rFont val="Noto Sans CJK SC"/>
        <family val="2"/>
      </rPr>
      <t xml:space="preserve">■ 지역 구분 </t>
    </r>
    <r>
      <rPr>
        <b val="true"/>
        <sz val="11"/>
        <color rgb="FFC00000"/>
        <rFont val="Arial"/>
        <family val="0"/>
        <charset val="1"/>
      </rPr>
      <t xml:space="preserve">/ </t>
    </r>
    <r>
      <rPr>
        <b val="true"/>
        <sz val="11"/>
        <color rgb="FFC00000"/>
        <rFont val="Noto Sans CJK SC"/>
        <family val="2"/>
      </rPr>
      <t xml:space="preserve">지역별 정책 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하드코딩 가정치</t>
    </r>
    <r>
      <rPr>
        <b val="true"/>
        <sz val="11"/>
        <color rgb="FFC00000"/>
        <rFont val="Arial"/>
        <family val="0"/>
        <charset val="1"/>
      </rPr>
      <t xml:space="preserve">)</t>
    </r>
  </si>
  <si>
    <t xml:space="preserve">지역코드 체계</t>
  </si>
  <si>
    <r>
      <rPr>
        <sz val="10"/>
        <rFont val="Noto Sans CJK SC"/>
        <family val="2"/>
      </rPr>
      <t xml:space="preserve">행정표준코드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법정동코드 앞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자리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기준의 시 단위 코드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자치구 단위로 쪼개지 않고 광역시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 단위로 지역화폐를 운영하는 구조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</si>
  <si>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11000 </t>
    </r>
    <r>
      <rPr>
        <b val="true"/>
        <sz val="10"/>
        <rFont val="Noto Sans CJK SC"/>
        <family val="2"/>
      </rPr>
      <t xml:space="preserve">서울특별시</t>
    </r>
  </si>
  <si>
    <r>
      <rPr>
        <sz val="10"/>
        <rFont val="Noto Sans CJK SC"/>
        <family val="2"/>
      </rPr>
      <t xml:space="preserve">캐시백 </t>
    </r>
    <r>
      <rPr>
        <sz val="10"/>
        <rFont val="Arial"/>
        <family val="0"/>
        <charset val="1"/>
      </rPr>
      <t xml:space="preserve">10% · </t>
    </r>
    <r>
      <rPr>
        <sz val="10"/>
        <rFont val="Noto Sans CJK SC"/>
        <family val="2"/>
      </rPr>
      <t xml:space="preserve">월 결제한도 </t>
    </r>
    <r>
      <rPr>
        <sz val="10"/>
        <rFont val="Arial"/>
        <family val="0"/>
        <charset val="1"/>
      </rPr>
      <t xml:space="preserve">500,000 · </t>
    </r>
    <r>
      <rPr>
        <sz val="10"/>
        <rFont val="Noto Sans CJK SC"/>
        <family val="2"/>
      </rPr>
      <t xml:space="preserve">월 캐시백한도 </t>
    </r>
    <r>
      <rPr>
        <sz val="10"/>
        <rFont val="Arial"/>
        <family val="0"/>
        <charset val="1"/>
      </rPr>
      <t xml:space="preserve">50,000 · </t>
    </r>
    <r>
      <rPr>
        <sz val="10"/>
        <rFont val="Noto Sans CJK SC"/>
        <family val="2"/>
      </rPr>
      <t xml:space="preserve">예산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모집중</t>
    </r>
  </si>
  <si>
    <r>
      <rPr>
        <b val="true"/>
        <sz val="10"/>
        <rFont val="Arial"/>
        <family val="0"/>
        <charset val="1"/>
      </rPr>
      <t xml:space="preserve">26000 </t>
    </r>
    <r>
      <rPr>
        <b val="true"/>
        <sz val="10"/>
        <rFont val="Noto Sans CJK SC"/>
        <family val="2"/>
      </rPr>
      <t xml:space="preserve">부산광역시</t>
    </r>
  </si>
  <si>
    <r>
      <rPr>
        <sz val="10"/>
        <rFont val="Noto Sans CJK SC"/>
        <family val="2"/>
      </rPr>
      <t xml:space="preserve">캐시백 </t>
    </r>
    <r>
      <rPr>
        <sz val="10"/>
        <rFont val="Arial"/>
        <family val="0"/>
        <charset val="1"/>
      </rPr>
      <t xml:space="preserve">12% · </t>
    </r>
    <r>
      <rPr>
        <sz val="10"/>
        <rFont val="Noto Sans CJK SC"/>
        <family val="2"/>
      </rPr>
      <t xml:space="preserve">월 결제한도 </t>
    </r>
    <r>
      <rPr>
        <sz val="10"/>
        <rFont val="Arial"/>
        <family val="0"/>
        <charset val="1"/>
      </rPr>
      <t xml:space="preserve">400,000 · </t>
    </r>
    <r>
      <rPr>
        <sz val="10"/>
        <rFont val="Noto Sans CJK SC"/>
        <family val="2"/>
      </rPr>
      <t xml:space="preserve">월 캐시백한도 </t>
    </r>
    <r>
      <rPr>
        <sz val="10"/>
        <rFont val="Arial"/>
        <family val="0"/>
        <charset val="1"/>
      </rPr>
      <t xml:space="preserve">40,000 · </t>
    </r>
    <r>
      <rPr>
        <sz val="10"/>
        <rFont val="Noto Sans CJK SC"/>
        <family val="2"/>
      </rPr>
      <t xml:space="preserve">예산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모집마감</t>
    </r>
  </si>
  <si>
    <r>
      <rPr>
        <b val="true"/>
        <sz val="10"/>
        <rFont val="Arial"/>
        <family val="0"/>
        <charset val="1"/>
      </rPr>
      <t xml:space="preserve">31000 </t>
    </r>
    <r>
      <rPr>
        <b val="true"/>
        <sz val="10"/>
        <rFont val="Noto Sans CJK SC"/>
        <family val="2"/>
      </rPr>
      <t xml:space="preserve">울산광역시</t>
    </r>
  </si>
  <si>
    <r>
      <rPr>
        <sz val="10"/>
        <rFont val="Noto Sans CJK SC"/>
        <family val="2"/>
      </rPr>
      <t xml:space="preserve">캐시백 </t>
    </r>
    <r>
      <rPr>
        <sz val="10"/>
        <rFont val="Arial"/>
        <family val="0"/>
        <charset val="1"/>
      </rPr>
      <t xml:space="preserve">8% · </t>
    </r>
    <r>
      <rPr>
        <sz val="10"/>
        <rFont val="Noto Sans CJK SC"/>
        <family val="2"/>
      </rPr>
      <t xml:space="preserve">월 결제한도 </t>
    </r>
    <r>
      <rPr>
        <sz val="10"/>
        <rFont val="Arial"/>
        <family val="0"/>
        <charset val="1"/>
      </rPr>
      <t xml:space="preserve">600,000 · </t>
    </r>
    <r>
      <rPr>
        <sz val="10"/>
        <rFont val="Noto Sans CJK SC"/>
        <family val="2"/>
      </rPr>
      <t xml:space="preserve">월 캐시백한도 </t>
    </r>
    <r>
      <rPr>
        <sz val="10"/>
        <rFont val="Arial"/>
        <family val="0"/>
        <charset val="1"/>
      </rPr>
      <t xml:space="preserve">45,000 · </t>
    </r>
    <r>
      <rPr>
        <sz val="10"/>
        <rFont val="Noto Sans CJK SC"/>
        <family val="2"/>
      </rPr>
      <t xml:space="preserve">예산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모집중</t>
    </r>
  </si>
  <si>
    <r>
      <rPr>
        <b val="true"/>
        <sz val="10"/>
        <rFont val="Arial"/>
        <family val="0"/>
        <charset val="1"/>
      </rPr>
      <t xml:space="preserve">41280 </t>
    </r>
    <r>
      <rPr>
        <b val="true"/>
        <sz val="10"/>
        <rFont val="Noto Sans CJK SC"/>
        <family val="2"/>
      </rPr>
      <t xml:space="preserve">경기도 고양시</t>
    </r>
  </si>
  <si>
    <r>
      <rPr>
        <sz val="10"/>
        <rFont val="Noto Sans CJK SC"/>
        <family val="2"/>
      </rPr>
      <t xml:space="preserve">캐시백 </t>
    </r>
    <r>
      <rPr>
        <sz val="10"/>
        <rFont val="Arial"/>
        <family val="0"/>
        <charset val="1"/>
      </rPr>
      <t xml:space="preserve">7% · </t>
    </r>
    <r>
      <rPr>
        <sz val="10"/>
        <rFont val="Noto Sans CJK SC"/>
        <family val="2"/>
      </rPr>
      <t xml:space="preserve">월 결제한도 </t>
    </r>
    <r>
      <rPr>
        <sz val="10"/>
        <rFont val="Arial"/>
        <family val="0"/>
        <charset val="1"/>
      </rPr>
      <t xml:space="preserve">700,000 · </t>
    </r>
    <r>
      <rPr>
        <sz val="10"/>
        <rFont val="Noto Sans CJK SC"/>
        <family val="2"/>
      </rPr>
      <t xml:space="preserve">월 캐시백한도 </t>
    </r>
    <r>
      <rPr>
        <sz val="10"/>
        <rFont val="Arial"/>
        <family val="0"/>
        <charset val="1"/>
      </rPr>
      <t xml:space="preserve">49,000 · </t>
    </r>
    <r>
      <rPr>
        <sz val="10"/>
        <rFont val="Noto Sans CJK SC"/>
        <family val="2"/>
      </rPr>
      <t xml:space="preserve">예산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모집중</t>
    </r>
  </si>
  <si>
    <t xml:space="preserve">정산 수수료</t>
  </si>
  <si>
    <r>
      <rPr>
        <sz val="10"/>
        <rFont val="Arial"/>
        <family val="0"/>
        <charset val="1"/>
      </rPr>
      <t xml:space="preserve">0.3% (FEE_RATE, </t>
    </r>
    <r>
      <rPr>
        <sz val="10"/>
        <rFont val="Noto Sans CJK SC"/>
        <family val="2"/>
      </rPr>
      <t xml:space="preserve">실습용 가정치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지역화폐는 </t>
    </r>
    <r>
      <rPr>
        <sz val="10"/>
        <rFont val="Arial"/>
        <family val="0"/>
        <charset val="1"/>
      </rPr>
      <t xml:space="preserve">0% </t>
    </r>
    <r>
      <rPr>
        <sz val="10"/>
        <rFont val="Noto Sans CJK SC"/>
        <family val="2"/>
      </rPr>
      <t xml:space="preserve">운영 사례 많음</t>
    </r>
    <r>
      <rPr>
        <sz val="10"/>
        <rFont val="Arial"/>
        <family val="0"/>
        <charset val="1"/>
      </rPr>
      <t xml:space="preserve">)</t>
    </r>
  </si>
  <si>
    <t xml:space="preserve">■ 일부러 넣은 경계 케이스</t>
  </si>
  <si>
    <t xml:space="preserve">캐시백 전액 결제</t>
  </si>
  <si>
    <r>
      <rPr>
        <sz val="10"/>
        <rFont val="Arial"/>
        <family val="0"/>
        <charset val="1"/>
      </rPr>
      <t xml:space="preserve">payment_id 9000020 — </t>
    </r>
    <r>
      <rPr>
        <sz val="10"/>
        <rFont val="Noto Sans CJK SC"/>
        <family val="2"/>
      </rPr>
      <t xml:space="preserve">전액이 캐시백으로 차감되어 </t>
    </r>
    <r>
      <rPr>
        <sz val="10"/>
        <rFont val="Arial"/>
        <family val="0"/>
        <charset val="1"/>
      </rPr>
      <t xml:space="preserve">pay_cash_amt=0, </t>
    </r>
    <r>
      <rPr>
        <sz val="10"/>
        <rFont val="Noto Sans CJK SC"/>
        <family val="2"/>
      </rPr>
      <t xml:space="preserve">신규 적립 </t>
    </r>
    <r>
      <rPr>
        <sz val="10"/>
        <rFont val="Arial"/>
        <family val="0"/>
        <charset val="1"/>
      </rPr>
      <t xml:space="preserve">0</t>
    </r>
  </si>
  <si>
    <t xml:space="preserve">월 캐시백 한도 초과</t>
  </si>
  <si>
    <r>
      <rPr>
        <sz val="10"/>
        <rFont val="Noto Sans CJK SC"/>
        <family val="2"/>
      </rPr>
      <t xml:space="preserve">최지우</t>
    </r>
    <r>
      <rPr>
        <sz val="10"/>
        <rFont val="Arial"/>
        <family val="0"/>
        <charset val="1"/>
      </rPr>
      <t xml:space="preserve">(100004) 8</t>
    </r>
    <r>
      <rPr>
        <sz val="10"/>
        <rFont val="Noto Sans CJK SC"/>
        <family val="2"/>
      </rPr>
      <t xml:space="preserve">월 — </t>
    </r>
    <r>
      <rPr>
        <sz val="10"/>
        <rFont val="Arial"/>
        <family val="0"/>
        <charset val="1"/>
      </rPr>
      <t xml:space="preserve">45,470</t>
    </r>
    <r>
      <rPr>
        <sz val="10"/>
        <rFont val="Noto Sans CJK SC"/>
        <family val="2"/>
      </rPr>
      <t xml:space="preserve">원 적립 대상이었으나 </t>
    </r>
    <r>
      <rPr>
        <sz val="10"/>
        <rFont val="Arial"/>
        <family val="0"/>
        <charset val="1"/>
      </rPr>
      <t xml:space="preserve">40,000</t>
    </r>
    <r>
      <rPr>
        <sz val="10"/>
        <rFont val="Noto Sans CJK SC"/>
        <family val="2"/>
      </rPr>
      <t xml:space="preserve">원에서 캡</t>
    </r>
  </si>
  <si>
    <t xml:space="preserve">결제 취소</t>
  </si>
  <si>
    <r>
      <rPr>
        <sz val="10"/>
        <rFont val="Noto Sans CJK SC"/>
        <family val="2"/>
      </rPr>
      <t xml:space="preserve">원거래 </t>
    </r>
    <r>
      <rPr>
        <sz val="10"/>
        <rFont val="Arial"/>
        <family val="0"/>
        <charset val="1"/>
      </rPr>
      <t xml:space="preserve">9000002(34,000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/ 9000021(210,000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각각 음수 역분개 행 </t>
    </r>
    <r>
      <rPr>
        <sz val="10"/>
        <rFont val="Arial"/>
        <family val="0"/>
        <charset val="1"/>
      </rPr>
      <t xml:space="preserve">9000010 / 9000024 </t>
    </r>
    <r>
      <rPr>
        <sz val="10"/>
        <rFont val="Noto Sans CJK SC"/>
        <family val="2"/>
      </rPr>
      <t xml:space="preserve">생성</t>
    </r>
  </si>
  <si>
    <t xml:space="preserve">정책 미승인 사용자</t>
  </si>
  <si>
    <r>
      <rPr>
        <sz val="10"/>
        <rFont val="Noto Sans CJK SC"/>
        <family val="2"/>
      </rPr>
      <t xml:space="preserve">임시우</t>
    </r>
    <r>
      <rPr>
        <sz val="10"/>
        <rFont val="Arial"/>
        <family val="0"/>
        <charset val="1"/>
      </rPr>
      <t xml:space="preserve">(100008) </t>
    </r>
    <r>
      <rPr>
        <sz val="10"/>
        <rFont val="Noto Sans CJK SC"/>
        <family val="2"/>
      </rPr>
      <t xml:space="preserve">신청상태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신청</t>
    </r>
    <r>
      <rPr>
        <sz val="10"/>
        <rFont val="Arial"/>
        <family val="0"/>
        <charset val="1"/>
      </rPr>
      <t xml:space="preserve">' → </t>
    </r>
    <r>
      <rPr>
        <sz val="10"/>
        <rFont val="Noto Sans CJK SC"/>
        <family val="2"/>
      </rPr>
      <t xml:space="preserve">충전만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캐시백 미적립</t>
    </r>
  </si>
  <si>
    <r>
      <rPr>
        <b val="true"/>
        <sz val="10"/>
        <rFont val="Noto Sans CJK SC"/>
        <family val="2"/>
      </rPr>
      <t xml:space="preserve">거래정지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거래종료</t>
    </r>
  </si>
  <si>
    <r>
      <rPr>
        <sz val="10"/>
        <rFont val="Noto Sans CJK SC"/>
        <family val="2"/>
      </rPr>
      <t xml:space="preserve">강준서</t>
    </r>
    <r>
      <rPr>
        <sz val="10"/>
        <rFont val="Arial"/>
        <family val="0"/>
        <charset val="1"/>
      </rPr>
      <t xml:space="preserve">(100006) </t>
    </r>
    <r>
      <rPr>
        <sz val="10"/>
        <rFont val="Noto Sans CJK SC"/>
        <family val="2"/>
      </rPr>
      <t xml:space="preserve">신청 반려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거래정지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윤채원</t>
    </r>
    <r>
      <rPr>
        <sz val="10"/>
        <rFont val="Arial"/>
        <family val="0"/>
        <charset val="1"/>
      </rPr>
      <t xml:space="preserve">(100007) </t>
    </r>
    <r>
      <rPr>
        <sz val="10"/>
        <rFont val="Noto Sans CJK SC"/>
        <family val="2"/>
      </rPr>
      <t xml:space="preserve">거래종료일 보유</t>
    </r>
  </si>
  <si>
    <t xml:space="preserve">다지역 계좌 보유</t>
  </si>
  <si>
    <r>
      <rPr>
        <sz val="10"/>
        <rFont val="Noto Sans CJK SC"/>
        <family val="2"/>
      </rPr>
      <t xml:space="preserve">김민준</t>
    </r>
    <r>
      <rPr>
        <sz val="10"/>
        <rFont val="Arial"/>
        <family val="0"/>
        <charset val="1"/>
      </rPr>
      <t xml:space="preserve">(100001)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고양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최지우</t>
    </r>
    <r>
      <rPr>
        <sz val="10"/>
        <rFont val="Arial"/>
        <family val="0"/>
        <charset val="1"/>
      </rPr>
      <t xml:space="preserve">(100004) </t>
    </r>
    <r>
      <rPr>
        <sz val="10"/>
        <rFont val="Noto Sans CJK SC"/>
        <family val="2"/>
      </rPr>
      <t xml:space="preserve">부산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울산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정하은</t>
    </r>
    <r>
      <rPr>
        <sz val="10"/>
        <rFont val="Arial"/>
        <family val="0"/>
        <charset val="1"/>
      </rPr>
      <t xml:space="preserve">(100005)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울산 — </t>
    </r>
    <r>
      <rPr>
        <sz val="10"/>
        <rFont val="Arial"/>
        <family val="0"/>
        <charset val="1"/>
      </rPr>
      <t xml:space="preserve">USER 1:N LOCAL_ACCOUNT </t>
    </r>
    <r>
      <rPr>
        <sz val="10"/>
        <rFont val="Noto Sans CJK SC"/>
        <family val="2"/>
      </rPr>
      <t xml:space="preserve">검증용</t>
    </r>
  </si>
  <si>
    <r>
      <rPr>
        <b val="true"/>
        <sz val="10"/>
        <rFont val="Noto Sans CJK SC"/>
        <family val="2"/>
      </rPr>
      <t xml:space="preserve">매출 </t>
    </r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Noto Sans CJK SC"/>
        <family val="2"/>
      </rPr>
      <t xml:space="preserve">억 초과 가맹점</t>
    </r>
  </si>
  <si>
    <r>
      <rPr>
        <sz val="10"/>
        <rFont val="Noto Sans CJK SC"/>
        <family val="2"/>
      </rPr>
      <t xml:space="preserve">메가마트 부산중구점</t>
    </r>
    <r>
      <rPr>
        <sz val="10"/>
        <rFont val="Arial"/>
        <family val="0"/>
        <charset val="1"/>
      </rPr>
      <t xml:space="preserve">(700006) </t>
    </r>
    <r>
      <rPr>
        <sz val="10"/>
        <rFont val="Noto Sans CJK SC"/>
        <family val="2"/>
      </rPr>
      <t xml:space="preserve">연매출 </t>
    </r>
    <r>
      <rPr>
        <sz val="10"/>
        <rFont val="Arial"/>
        <family val="0"/>
        <charset val="1"/>
      </rPr>
      <t xml:space="preserve">39.2</t>
    </r>
    <r>
      <rPr>
        <sz val="10"/>
        <rFont val="Noto Sans CJK SC"/>
        <family val="2"/>
      </rPr>
      <t xml:space="preserve">억 → 가맹해지 상태</t>
    </r>
  </si>
  <si>
    <t xml:space="preserve">거래 없는 지역 계좌</t>
  </si>
  <si>
    <r>
      <rPr>
        <sz val="10"/>
        <rFont val="Arial"/>
        <family val="0"/>
        <charset val="1"/>
      </rPr>
      <t xml:space="preserve">5000008(</t>
    </r>
    <r>
      <rPr>
        <sz val="10"/>
        <rFont val="Noto Sans CJK SC"/>
        <family val="2"/>
      </rPr>
      <t xml:space="preserve">울산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거래정지</t>
    </r>
    <r>
      <rPr>
        <sz val="10"/>
        <rFont val="Arial"/>
        <family val="0"/>
        <charset val="1"/>
      </rPr>
      <t xml:space="preserve">), 5000010(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정책 신청중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계좌만 있고 거래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</si>
  <si>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b val="true"/>
        <sz val="11"/>
        <color rgb="FFC00000"/>
        <rFont val="Noto Sans CJK SC"/>
        <family val="2"/>
      </rPr>
      <t xml:space="preserve">■ 검토 필요 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더미데이터 만들면서 드러난 구조 이슈</t>
    </r>
    <r>
      <rPr>
        <b val="true"/>
        <sz val="11"/>
        <color rgb="FFC00000"/>
        <rFont val="Arial"/>
        <family val="0"/>
        <charset val="1"/>
      </rPr>
      <t xml:space="preserve">)</t>
    </r>
  </si>
  <si>
    <t xml:space="preserve">캐시백 요율 컬럼 부재</t>
  </si>
  <si>
    <r>
      <rPr>
        <sz val="10"/>
        <rFont val="Arial"/>
        <family val="0"/>
        <charset val="1"/>
      </rPr>
      <t xml:space="preserve">BUDGET_REGION</t>
    </r>
    <r>
      <rPr>
        <sz val="10"/>
        <rFont val="Noto Sans CJK SC"/>
        <family val="2"/>
      </rPr>
      <t xml:space="preserve">에 지역별 캐시백 요율</t>
    </r>
    <r>
      <rPr>
        <sz val="10"/>
        <rFont val="Arial"/>
        <family val="0"/>
        <charset val="1"/>
      </rPr>
      <t xml:space="preserve">(cashback_rate) </t>
    </r>
    <r>
      <rPr>
        <sz val="10"/>
        <rFont val="Noto Sans CJK SC"/>
        <family val="2"/>
      </rPr>
      <t xml:space="preserve">컬럼이 없어 적립액을 재현할 수 없음</t>
    </r>
  </si>
  <si>
    <r>
      <rPr>
        <b val="true"/>
        <sz val="10"/>
        <rFont val="Noto Sans CJK SC"/>
        <family val="2"/>
      </rPr>
      <t xml:space="preserve">취소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원거래 연결 불가</t>
    </r>
  </si>
  <si>
    <r>
      <rPr>
        <sz val="10"/>
        <rFont val="Arial"/>
        <family val="0"/>
        <charset val="1"/>
      </rPr>
      <t xml:space="preserve">PAYMENT_TRANSACTION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original_payment_id</t>
    </r>
    <r>
      <rPr>
        <sz val="10"/>
        <rFont val="Noto Sans CJK SC"/>
        <family val="2"/>
      </rPr>
      <t xml:space="preserve">가 없어 어떤 거래의 취소인지 추적 불가</t>
    </r>
  </si>
  <si>
    <r>
      <rPr>
        <b val="true"/>
        <sz val="10"/>
        <rFont val="Noto Sans CJK SC"/>
        <family val="2"/>
      </rPr>
      <t xml:space="preserve">정책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계좌 연결 모호</t>
    </r>
  </si>
  <si>
    <r>
      <rPr>
        <sz val="10"/>
        <rFont val="Arial"/>
        <family val="0"/>
        <charset val="1"/>
      </rPr>
      <t xml:space="preserve">BUDGET_REGION_APPLY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user_id</t>
    </r>
    <r>
      <rPr>
        <sz val="10"/>
        <rFont val="Noto Sans CJK SC"/>
        <family val="2"/>
      </rPr>
      <t xml:space="preserve">만 참조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사용자가 여러 지역 계좌를 가지면 어느 계좌에 적용할지 불명확</t>
    </r>
  </si>
  <si>
    <t xml:space="preserve">월 한도의 지역 구분 없음</t>
  </si>
  <si>
    <r>
      <rPr>
        <sz val="10"/>
        <rFont val="Arial"/>
        <family val="0"/>
        <charset val="1"/>
      </rPr>
      <t xml:space="preserve">USER_LIMIT_MANAGEMENT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user_id+</t>
    </r>
    <r>
      <rPr>
        <sz val="10"/>
        <rFont val="Noto Sans CJK SC"/>
        <family val="2"/>
      </rPr>
      <t xml:space="preserve">월 단위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최지우</t>
    </r>
    <r>
      <rPr>
        <sz val="10"/>
        <rFont val="Arial"/>
        <family val="0"/>
        <charset val="1"/>
      </rPr>
      <t xml:space="preserve">(100004) 8</t>
    </r>
    <r>
      <rPr>
        <sz val="10"/>
        <rFont val="Noto Sans CJK SC"/>
        <family val="2"/>
      </rPr>
      <t xml:space="preserve">월이 부산 </t>
    </r>
    <r>
      <rPr>
        <sz val="10"/>
        <rFont val="Arial"/>
        <family val="0"/>
        <charset val="1"/>
      </rPr>
      <t xml:space="preserve">389,000 + </t>
    </r>
    <r>
      <rPr>
        <sz val="10"/>
        <rFont val="Noto Sans CJK SC"/>
        <family val="2"/>
      </rPr>
      <t xml:space="preserve">울산 </t>
    </r>
    <r>
      <rPr>
        <sz val="10"/>
        <rFont val="Arial"/>
        <family val="0"/>
        <charset val="1"/>
      </rPr>
      <t xml:space="preserve">40,000 = 429,000</t>
    </r>
    <r>
      <rPr>
        <sz val="10"/>
        <rFont val="Noto Sans CJK SC"/>
        <family val="2"/>
      </rPr>
      <t xml:space="preserve">으로 합산되어 부산 한도 </t>
    </r>
    <r>
      <rPr>
        <sz val="10"/>
        <rFont val="Arial"/>
        <family val="0"/>
        <charset val="1"/>
      </rPr>
      <t xml:space="preserve">400,000</t>
    </r>
    <r>
      <rPr>
        <sz val="10"/>
        <rFont val="Noto Sans CJK SC"/>
        <family val="2"/>
      </rPr>
      <t xml:space="preserve">을 넘은 것처럼 보임</t>
    </r>
    <r>
      <rPr>
        <sz val="10"/>
        <rFont val="Arial"/>
        <family val="0"/>
        <charset val="1"/>
      </rPr>
      <t xml:space="preserve">. region_code/policy_id</t>
    </r>
    <r>
      <rPr>
        <sz val="10"/>
        <rFont val="Noto Sans CJK SC"/>
        <family val="2"/>
      </rPr>
      <t xml:space="preserve">를 키에 추가 필요</t>
    </r>
  </si>
  <si>
    <t xml:space="preserve">캐시백 소멸 이력 없음</t>
  </si>
  <si>
    <r>
      <rPr>
        <sz val="10"/>
        <rFont val="Noto Sans CJK SC"/>
        <family val="2"/>
      </rPr>
      <t xml:space="preserve">유효기간 만료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계좌해지 시 캐시백 소멸을 기록할 테이블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컬럼이 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계좌 </t>
    </r>
    <r>
      <rPr>
        <sz val="10"/>
        <rFont val="Arial"/>
        <family val="0"/>
        <charset val="1"/>
      </rPr>
      <t xml:space="preserve">5000009 </t>
    </r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)</t>
    </r>
  </si>
  <si>
    <t xml:space="preserve">예산 차감 시점</t>
  </si>
  <si>
    <r>
      <rPr>
        <sz val="10"/>
        <rFont val="Arial"/>
        <family val="0"/>
        <charset val="1"/>
      </rPr>
      <t xml:space="preserve">BUDGET_MASTER.used_budget</t>
    </r>
    <r>
      <rPr>
        <sz val="10"/>
        <rFont val="Noto Sans CJK SC"/>
        <family val="2"/>
      </rPr>
      <t xml:space="preserve">이 집계 컬럼이라 결제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취소와 동시 갱신 필요 — 원장 이력 테이블 권장</t>
    </r>
  </si>
  <si>
    <r>
      <rPr>
        <b val="true"/>
        <sz val="13"/>
        <color rgb="FF1F3864"/>
        <rFont val="Arial"/>
        <family val="0"/>
        <charset val="1"/>
      </rPr>
      <t xml:space="preserve">USER — </t>
    </r>
    <r>
      <rPr>
        <b val="true"/>
        <sz val="13"/>
        <color rgb="FF1F3864"/>
        <rFont val="Noto Sans CJK SC"/>
        <family val="2"/>
      </rPr>
      <t xml:space="preserve">고객 기본정보</t>
    </r>
  </si>
  <si>
    <t xml:space="preserve">user_id</t>
  </si>
  <si>
    <t xml:space="preserve">rrn_enc</t>
  </si>
  <si>
    <t xml:space="preserve">rrn_hash</t>
  </si>
  <si>
    <t xml:space="preserve">user_name</t>
  </si>
  <si>
    <t xml:space="preserve">status_code</t>
  </si>
  <si>
    <t xml:space="preserve">transaction_end_date</t>
  </si>
  <si>
    <t xml:space="preserve">reg_dt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</si>
  <si>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고객 고유 식별자</t>
    </r>
  </si>
  <si>
    <t xml:space="preserve">주민등록번호 암호문</t>
  </si>
  <si>
    <r>
      <rPr>
        <i val="true"/>
        <sz val="9"/>
        <color rgb="FF44546A"/>
        <rFont val="Noto Sans CJK SC"/>
        <family val="2"/>
      </rPr>
      <t xml:space="preserve">주민번호 검색용 해시</t>
    </r>
    <r>
      <rPr>
        <i val="true"/>
        <sz val="9"/>
        <color rgb="FF44546A"/>
        <rFont val="Arial"/>
        <family val="0"/>
        <charset val="1"/>
      </rPr>
      <t xml:space="preserve">(SHA-256)</t>
    </r>
  </si>
  <si>
    <t xml:space="preserve">고객명</t>
  </si>
  <si>
    <r>
      <rPr>
        <i val="true"/>
        <sz val="9"/>
        <color rgb="FF44546A"/>
        <rFont val="Noto Sans CJK SC"/>
        <family val="2"/>
      </rPr>
      <t xml:space="preserve">상태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정상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거래정지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거래종료</t>
    </r>
    <r>
      <rPr>
        <i val="true"/>
        <sz val="9"/>
        <color rgb="FF44546A"/>
        <rFont val="Arial"/>
        <family val="0"/>
        <charset val="1"/>
      </rPr>
      <t xml:space="preserve">)</t>
    </r>
  </si>
  <si>
    <r>
      <rPr>
        <i val="true"/>
        <sz val="9"/>
        <color rgb="FF44546A"/>
        <rFont val="Noto Sans CJK SC"/>
        <family val="2"/>
      </rPr>
      <t xml:space="preserve">거래종료일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신용정보법 </t>
    </r>
    <r>
      <rPr>
        <i val="true"/>
        <sz val="9"/>
        <color rgb="FF44546A"/>
        <rFont val="Arial"/>
        <family val="0"/>
        <charset val="1"/>
      </rPr>
      <t xml:space="preserve">5</t>
    </r>
    <r>
      <rPr>
        <i val="true"/>
        <sz val="9"/>
        <color rgb="FF44546A"/>
        <rFont val="Noto Sans CJK SC"/>
        <family val="2"/>
      </rPr>
      <t xml:space="preserve">년 파기 기산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</si>
  <si>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등록일시</t>
  </si>
  <si>
    <t xml:space="preserve">ENC:04481FBDAF20C1</t>
  </si>
  <si>
    <t xml:space="preserve">00000000000000000000000000000000000000000000f16c0454259486e00735</t>
  </si>
  <si>
    <t xml:space="preserve">김민준</t>
  </si>
  <si>
    <t xml:space="preserve">정상</t>
  </si>
  <si>
    <t xml:space="preserve">ENC:A27F996EAF20C1</t>
  </si>
  <si>
    <t xml:space="preserve">00000000000000000000000000000000000000000000f16ca28b9f4e062a834a</t>
  </si>
  <si>
    <t xml:space="preserve">이서연</t>
  </si>
  <si>
    <t xml:space="preserve">ENC:40B71320AF20C1</t>
  </si>
  <si>
    <t xml:space="preserve">00000000000000000000000000000000000000000000f16d40c319078574ff5f</t>
  </si>
  <si>
    <t xml:space="preserve">박도윤</t>
  </si>
  <si>
    <t xml:space="preserve">ENC:DEEE8CD1AF20C1</t>
  </si>
  <si>
    <t xml:space="preserve">00000000000000000000000000000000000000000000f16ddefa92c104bf7b74</t>
  </si>
  <si>
    <t xml:space="preserve">최지우</t>
  </si>
  <si>
    <t xml:space="preserve">ENC:7D260683AF20C1</t>
  </si>
  <si>
    <t xml:space="preserve">00000000000000000000000000000000000000000000f16e7d320c7a8409f789</t>
  </si>
  <si>
    <t xml:space="preserve">정하은</t>
  </si>
  <si>
    <t xml:space="preserve">ENC:1B5D8035AF20C1</t>
  </si>
  <si>
    <t xml:space="preserve">00000000000000000000000000000000000000000000f16f1b6986340354739e</t>
  </si>
  <si>
    <t xml:space="preserve">강준서</t>
  </si>
  <si>
    <t xml:space="preserve">거래정지</t>
  </si>
  <si>
    <t xml:space="preserve">ENC:B994F9E6AF20C1</t>
  </si>
  <si>
    <t xml:space="preserve">00000000000000000000000000000000000000000000f16fb9a0ffed829eefb3</t>
  </si>
  <si>
    <t xml:space="preserve">윤채원</t>
  </si>
  <si>
    <t xml:space="preserve">거래종료</t>
  </si>
  <si>
    <t xml:space="preserve">ENC:57CC7398AF20C1</t>
  </si>
  <si>
    <t xml:space="preserve">00000000000000000000000000000000000000000000f17057d879a701e96bc8</t>
  </si>
  <si>
    <t xml:space="preserve">임시우</t>
  </si>
  <si>
    <r>
      <rPr>
        <i val="true"/>
        <sz val="9"/>
        <color rgb="FFC00000"/>
        <rFont val="Arial"/>
        <family val="0"/>
        <charset val="1"/>
      </rPr>
      <t xml:space="preserve">※ rrn_enc/rrn_hash</t>
    </r>
    <r>
      <rPr>
        <i val="true"/>
        <sz val="9"/>
        <color rgb="FFC00000"/>
        <rFont val="Noto Sans CJK SC"/>
        <family val="2"/>
      </rPr>
      <t xml:space="preserve">는 실제 암호문이 아닌 형식 예시입니다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주민번호 평문은 어떤 컬럼에도 저장하지 않습니다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</si>
  <si>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LOCAL_ACCOUNT — </t>
    </r>
    <r>
      <rPr>
        <b val="true"/>
        <sz val="13"/>
        <color rgb="FF1F3864"/>
        <rFont val="Noto Sans CJK SC"/>
        <family val="2"/>
      </rPr>
      <t xml:space="preserve">지역화폐 계좌</t>
    </r>
    <r>
      <rPr>
        <b val="true"/>
        <sz val="13"/>
        <color rgb="FF1F3864"/>
        <rFont val="Arial"/>
        <family val="0"/>
        <charset val="1"/>
      </rPr>
      <t xml:space="preserve">(</t>
    </r>
    <r>
      <rPr>
        <b val="true"/>
        <sz val="13"/>
        <color rgb="FF1F3864"/>
        <rFont val="Noto Sans CJK SC"/>
        <family val="2"/>
      </rPr>
      <t xml:space="preserve">실충전금 원장</t>
    </r>
    <r>
      <rPr>
        <b val="true"/>
        <sz val="13"/>
        <color rgb="FF1F3864"/>
        <rFont val="Arial"/>
        <family val="0"/>
        <charset val="1"/>
      </rPr>
      <t xml:space="preserve">)</t>
    </r>
  </si>
  <si>
    <t xml:space="preserve">account_id</t>
  </si>
  <si>
    <t xml:space="preserve">region_code</t>
  </si>
  <si>
    <t xml:space="preserve">region_name_ref</t>
  </si>
  <si>
    <t xml:space="preserve">cash_balance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</si>
  <si>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지역화폐 계좌 번호</t>
    </r>
  </si>
  <si>
    <r>
      <rPr>
        <i val="true"/>
        <sz val="9"/>
        <color rgb="FF44546A"/>
        <rFont val="Arial"/>
        <family val="0"/>
        <charset val="1"/>
      </rPr>
      <t xml:space="preserve">[FK] </t>
    </r>
    <r>
      <rPr>
        <i val="true"/>
        <sz val="9"/>
        <color rgb="FF44546A"/>
        <rFont val="Noto Sans CJK SC"/>
        <family val="2"/>
      </rPr>
      <t xml:space="preserve">고객 </t>
    </r>
    <r>
      <rPr>
        <i val="true"/>
        <sz val="9"/>
        <color rgb="FF44546A"/>
        <rFont val="Arial"/>
        <family val="0"/>
        <charset val="1"/>
      </rPr>
      <t xml:space="preserve">ID</t>
    </r>
  </si>
  <si>
    <t xml:space="preserve">지자체 지역 코드</t>
  </si>
  <si>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참고</t>
    </r>
    <r>
      <rPr>
        <i val="true"/>
        <sz val="9"/>
        <color rgb="FF44546A"/>
        <rFont val="Arial"/>
        <family val="0"/>
        <charset val="1"/>
      </rPr>
      <t xml:space="preserve">) </t>
    </r>
    <r>
      <rPr>
        <i val="true"/>
        <sz val="9"/>
        <color rgb="FF44546A"/>
        <rFont val="Noto Sans CJK SC"/>
        <family val="2"/>
      </rPr>
      <t xml:space="preserve">지역명 — 실제 테이블에는 없는 설명용 컬럼</t>
    </r>
  </si>
  <si>
    <r>
      <rPr>
        <i val="true"/>
        <sz val="9"/>
        <color rgb="FF44546A"/>
        <rFont val="Noto Sans CJK SC"/>
        <family val="2"/>
      </rPr>
      <t xml:space="preserve">실 충전금 잔액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원금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</si>
  <si>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계좌 상태</t>
  </si>
  <si>
    <t xml:space="preserve">개설일시</t>
  </si>
  <si>
    <t xml:space="preserve">11000</t>
  </si>
  <si>
    <t xml:space="preserve">서울특별시</t>
  </si>
  <si>
    <t xml:space="preserve">41280</t>
  </si>
  <si>
    <t xml:space="preserve">경기도 고양시</t>
  </si>
  <si>
    <t xml:space="preserve">26000</t>
  </si>
  <si>
    <t xml:space="preserve">부산광역시</t>
  </si>
  <si>
    <t xml:space="preserve">31000</t>
  </si>
  <si>
    <t xml:space="preserve">울산광역시</t>
  </si>
  <si>
    <t xml:space="preserve">해지대기</t>
  </si>
  <si>
    <r>
      <rPr>
        <i val="true"/>
        <sz val="9"/>
        <color rgb="FFC00000"/>
        <rFont val="Arial"/>
        <family val="0"/>
        <charset val="1"/>
      </rPr>
      <t xml:space="preserve">※ region_name_ref</t>
    </r>
    <r>
      <rPr>
        <i val="true"/>
        <sz val="9"/>
        <color rgb="FFC00000"/>
        <rFont val="Noto Sans CJK SC"/>
        <family val="2"/>
      </rPr>
      <t xml:space="preserve">는 가독성용 참고 컬럼입니다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실제로는 지자체 코드 마스터 테이블을 따로 두고 조인하는 것이 맞습니다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</si>
  <si>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CASHBACK_ACCOUNT — </t>
    </r>
    <r>
      <rPr>
        <b val="true"/>
        <sz val="13"/>
        <color rgb="FF1F3864"/>
        <rFont val="Noto Sans CJK SC"/>
        <family val="2"/>
      </rPr>
      <t xml:space="preserve">캐시백 원장 </t>
    </r>
    <r>
      <rPr>
        <b val="true"/>
        <sz val="13"/>
        <color rgb="FF1F3864"/>
        <rFont val="Arial"/>
        <family val="0"/>
        <charset val="1"/>
      </rPr>
      <t xml:space="preserve">(LOCAL_ACCOUNT</t>
    </r>
    <r>
      <rPr>
        <b val="true"/>
        <sz val="13"/>
        <color rgb="FF1F3864"/>
        <rFont val="Noto Sans CJK SC"/>
        <family val="2"/>
      </rPr>
      <t xml:space="preserve">와 </t>
    </r>
    <r>
      <rPr>
        <b val="true"/>
        <sz val="13"/>
        <color rgb="FF1F3864"/>
        <rFont val="Arial"/>
        <family val="0"/>
        <charset val="1"/>
      </rPr>
      <t xml:space="preserve">1:1)</t>
    </r>
  </si>
  <si>
    <t xml:space="preserve">cashback_account_id</t>
  </si>
  <si>
    <t xml:space="preserve">cashback_balance</t>
  </si>
  <si>
    <t xml:space="preserve">total_accumulated_amt</t>
  </si>
  <si>
    <t xml:space="preserve">last_updated_dt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</si>
  <si>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캐시백 원장 </t>
    </r>
    <r>
      <rPr>
        <i val="true"/>
        <sz val="9"/>
        <color rgb="FF44546A"/>
        <rFont val="Arial"/>
        <family val="0"/>
        <charset val="1"/>
      </rPr>
      <t xml:space="preserve">ID</t>
    </r>
  </si>
  <si>
    <r>
      <rPr>
        <i val="true"/>
        <sz val="9"/>
        <color rgb="FF44546A"/>
        <rFont val="Arial"/>
        <family val="0"/>
        <charset val="1"/>
      </rPr>
      <t xml:space="preserve">[FK] </t>
    </r>
    <r>
      <rPr>
        <i val="true"/>
        <sz val="9"/>
        <color rgb="FF44546A"/>
        <rFont val="Noto Sans CJK SC"/>
        <family val="2"/>
      </rPr>
      <t xml:space="preserve">지역화폐 계좌 </t>
    </r>
    <r>
      <rPr>
        <i val="true"/>
        <sz val="9"/>
        <color rgb="FF44546A"/>
        <rFont val="Arial"/>
        <family val="0"/>
        <charset val="1"/>
      </rPr>
      <t xml:space="preserve">ID</t>
    </r>
  </si>
  <si>
    <t xml:space="preserve">현재 사용 가능한 캐시백 잔액</t>
  </si>
  <si>
    <r>
      <rPr>
        <i val="true"/>
        <sz val="9"/>
        <color rgb="FF44546A"/>
        <rFont val="Noto Sans CJK SC"/>
        <family val="2"/>
      </rPr>
      <t xml:space="preserve">누적 적립 총액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취소분 차감 후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</si>
  <si>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최종 변동일시</t>
  </si>
  <si>
    <r>
      <rPr>
        <i val="true"/>
        <sz val="9"/>
        <color rgb="FFC00000"/>
        <rFont val="Arial"/>
        <family val="0"/>
        <charset val="1"/>
      </rPr>
      <t xml:space="preserve">※ cashback_balance = Σ earn_cashback_amt − Σ use_cashback_amt (</t>
    </r>
    <r>
      <rPr>
        <i val="true"/>
        <sz val="9"/>
        <color rgb="FFC00000"/>
        <rFont val="Noto Sans CJK SC"/>
        <family val="2"/>
      </rPr>
      <t xml:space="preserve">취소 행 포함</t>
    </r>
    <r>
      <rPr>
        <i val="true"/>
        <sz val="9"/>
        <color rgb="FFC00000"/>
        <rFont val="Arial"/>
        <family val="0"/>
        <charset val="1"/>
      </rPr>
      <t xml:space="preserve">). 99_</t>
    </r>
    <r>
      <rPr>
        <i val="true"/>
        <sz val="9"/>
        <color rgb="FFC00000"/>
        <rFont val="Noto Sans CJK SC"/>
        <family val="2"/>
      </rPr>
      <t xml:space="preserve">정합성검증 시트에서 수식으로 재계산합니다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</si>
  <si>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RECHARGE_TRANSACTION — </t>
    </r>
    <r>
      <rPr>
        <b val="true"/>
        <sz val="13"/>
        <color rgb="FF1F3864"/>
        <rFont val="Noto Sans CJK SC"/>
        <family val="2"/>
      </rPr>
      <t xml:space="preserve">충전 거래내역</t>
    </r>
  </si>
  <si>
    <t xml:space="preserve">recharge_id</t>
  </si>
  <si>
    <t xml:space="preserve">recharge_dt</t>
  </si>
  <si>
    <t xml:space="preserve">recharge_amt</t>
  </si>
  <si>
    <t xml:space="preserve">recharge_method_cd</t>
  </si>
  <si>
    <t xml:space="preserve">cash_yn</t>
  </si>
  <si>
    <t xml:space="preserve">bal_after</t>
  </si>
  <si>
    <t xml:space="preserve">device_info</t>
  </si>
  <si>
    <t xml:space="preserve">retain_until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</si>
  <si>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충전 거래 고유 번호</t>
    </r>
  </si>
  <si>
    <r>
      <rPr>
        <i val="true"/>
        <sz val="9"/>
        <color rgb="FF44546A"/>
        <rFont val="Noto Sans CJK SC"/>
        <family val="2"/>
      </rPr>
      <t xml:space="preserve">충전일시</t>
    </r>
    <r>
      <rPr>
        <i val="true"/>
        <sz val="9"/>
        <color rgb="FF44546A"/>
        <rFont val="Arial"/>
        <family val="0"/>
        <charset val="1"/>
      </rPr>
      <t xml:space="preserve">(DATETIME(3))</t>
    </r>
  </si>
  <si>
    <t xml:space="preserve">충전 금액</t>
  </si>
  <si>
    <t xml:space="preserve">충전 수단</t>
  </si>
  <si>
    <r>
      <rPr>
        <i val="true"/>
        <sz val="9"/>
        <color rgb="FF44546A"/>
        <rFont val="Noto Sans CJK SC"/>
        <family val="2"/>
      </rPr>
      <t xml:space="preserve">현금여부</t>
    </r>
    <r>
      <rPr>
        <i val="true"/>
        <sz val="9"/>
        <color rgb="FF44546A"/>
        <rFont val="Arial"/>
        <family val="0"/>
        <charset val="1"/>
      </rPr>
      <t xml:space="preserve">(Y/N — </t>
    </r>
    <r>
      <rPr>
        <i val="true"/>
        <sz val="9"/>
        <color rgb="FF44546A"/>
        <rFont val="Noto Sans CJK SC"/>
        <family val="2"/>
      </rPr>
      <t xml:space="preserve">특금법 </t>
    </r>
    <r>
      <rPr>
        <i val="true"/>
        <sz val="9"/>
        <color rgb="FF44546A"/>
        <rFont val="Arial"/>
        <family val="0"/>
        <charset val="1"/>
      </rPr>
      <t xml:space="preserve">CTR </t>
    </r>
    <r>
      <rPr>
        <i val="true"/>
        <sz val="9"/>
        <color rgb="FF44546A"/>
        <rFont val="Noto Sans CJK SC"/>
        <family val="2"/>
      </rPr>
      <t xml:space="preserve">판단용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</si>
  <si>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충전 후 실 충전금 잔액</t>
  </si>
  <si>
    <r>
      <rPr>
        <i val="true"/>
        <sz val="9"/>
        <color rgb="FF44546A"/>
        <rFont val="Noto Sans CJK SC"/>
        <family val="2"/>
      </rPr>
      <t xml:space="preserve">단말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매체 정보</t>
    </r>
  </si>
  <si>
    <r>
      <rPr>
        <i val="true"/>
        <sz val="9"/>
        <color rgb="FF44546A"/>
        <rFont val="Noto Sans CJK SC"/>
        <family val="2"/>
      </rPr>
      <t xml:space="preserve">보존만료일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거래일</t>
    </r>
    <r>
      <rPr>
        <i val="true"/>
        <sz val="9"/>
        <color rgb="FF44546A"/>
        <rFont val="Arial"/>
        <family val="0"/>
        <charset val="1"/>
      </rPr>
      <t xml:space="preserve">+5</t>
    </r>
    <r>
      <rPr>
        <i val="true"/>
        <sz val="9"/>
        <color rgb="FF44546A"/>
        <rFont val="Noto Sans CJK SC"/>
        <family val="2"/>
      </rPr>
      <t xml:space="preserve">년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</si>
  <si>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계좌이체</t>
  </si>
  <si>
    <t xml:space="preserve">N</t>
  </si>
  <si>
    <t xml:space="preserve">MOBILE-AOS</t>
  </si>
  <si>
    <t xml:space="preserve">신용카드</t>
  </si>
  <si>
    <t xml:space="preserve">MOBILE-IOS</t>
  </si>
  <si>
    <t xml:space="preserve">가상계좌</t>
  </si>
  <si>
    <t xml:space="preserve">현금입금</t>
  </si>
  <si>
    <t xml:space="preserve">Y</t>
  </si>
  <si>
    <t xml:space="preserve">KIOSK-BS01</t>
  </si>
  <si>
    <t xml:space="preserve">체크카드</t>
  </si>
  <si>
    <t xml:space="preserve">KIOSK-BS02</t>
  </si>
  <si>
    <t xml:space="preserve">KIOSK-US01</t>
  </si>
  <si>
    <r>
      <rPr>
        <i val="true"/>
        <sz val="9"/>
        <color rgb="FFC00000"/>
        <rFont val="Arial"/>
        <family val="0"/>
        <charset val="1"/>
      </rPr>
      <t xml:space="preserve">※ cash_yn='Y'</t>
    </r>
    <r>
      <rPr>
        <i val="true"/>
        <sz val="9"/>
        <color rgb="FFC00000"/>
        <rFont val="Noto Sans CJK SC"/>
        <family val="2"/>
      </rPr>
      <t xml:space="preserve">인 현금 충전은 </t>
    </r>
    <r>
      <rPr>
        <i val="true"/>
        <sz val="9"/>
        <color rgb="FFC00000"/>
        <rFont val="Arial"/>
        <family val="0"/>
        <charset val="1"/>
      </rPr>
      <t xml:space="preserve">1</t>
    </r>
    <r>
      <rPr>
        <i val="true"/>
        <sz val="9"/>
        <color rgb="FFC00000"/>
        <rFont val="Noto Sans CJK SC"/>
        <family val="2"/>
      </rPr>
      <t xml:space="preserve">일 </t>
    </r>
    <r>
      <rPr>
        <i val="true"/>
        <sz val="9"/>
        <color rgb="FFC00000"/>
        <rFont val="Arial"/>
        <family val="0"/>
        <charset val="1"/>
      </rPr>
      <t xml:space="preserve">1</t>
    </r>
    <r>
      <rPr>
        <i val="true"/>
        <sz val="9"/>
        <color rgb="FFC00000"/>
        <rFont val="Noto Sans CJK SC"/>
        <family val="2"/>
      </rPr>
      <t xml:space="preserve">천만원 합산 시 </t>
    </r>
    <r>
      <rPr>
        <i val="true"/>
        <sz val="9"/>
        <color rgb="FFC00000"/>
        <rFont val="Arial"/>
        <family val="0"/>
        <charset val="1"/>
      </rPr>
      <t xml:space="preserve">CTR </t>
    </r>
    <r>
      <rPr>
        <i val="true"/>
        <sz val="9"/>
        <color rgb="FFC00000"/>
        <rFont val="Noto Sans CJK SC"/>
        <family val="2"/>
      </rPr>
      <t xml:space="preserve">보고 대상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현재 데이터에는 보고 임계치 초과 건이 없습니다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</si>
  <si>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PAYMENT_TRANSACTION — </t>
    </r>
    <r>
      <rPr>
        <b val="true"/>
        <sz val="13"/>
        <color rgb="FF1F3864"/>
        <rFont val="Noto Sans CJK SC"/>
        <family val="2"/>
      </rPr>
      <t xml:space="preserve">결제</t>
    </r>
    <r>
      <rPr>
        <b val="true"/>
        <sz val="13"/>
        <color rgb="FF1F3864"/>
        <rFont val="Arial"/>
        <family val="0"/>
        <charset val="1"/>
      </rPr>
      <t xml:space="preserve">/</t>
    </r>
    <r>
      <rPr>
        <b val="true"/>
        <sz val="13"/>
        <color rgb="FF1F3864"/>
        <rFont val="Noto Sans CJK SC"/>
        <family val="2"/>
      </rPr>
      <t xml:space="preserve">취소 거래내역 </t>
    </r>
    <r>
      <rPr>
        <b val="true"/>
        <sz val="13"/>
        <color rgb="FF1F3864"/>
        <rFont val="Arial"/>
        <family val="0"/>
        <charset val="1"/>
      </rPr>
      <t xml:space="preserve">(</t>
    </r>
    <r>
      <rPr>
        <b val="true"/>
        <sz val="13"/>
        <color rgb="FF1F3864"/>
        <rFont val="Noto Sans CJK SC"/>
        <family val="2"/>
      </rPr>
      <t xml:space="preserve">캐시백 우선차감 로직 반영</t>
    </r>
    <r>
      <rPr>
        <b val="true"/>
        <sz val="13"/>
        <color rgb="FF1F3864"/>
        <rFont val="Arial"/>
        <family val="0"/>
        <charset val="1"/>
      </rPr>
      <t xml:space="preserve">)</t>
    </r>
  </si>
  <si>
    <t xml:space="preserve">payment_id</t>
  </si>
  <si>
    <t xml:space="preserve">merchant_id</t>
  </si>
  <si>
    <t xml:space="preserve">pay_dt</t>
  </si>
  <si>
    <t xml:space="preserve">pay_status_cd</t>
  </si>
  <si>
    <t xml:space="preserve">total_tx_amt</t>
  </si>
  <si>
    <t xml:space="preserve">use_cashback_amt</t>
  </si>
  <si>
    <t xml:space="preserve">pay_cash_amt</t>
  </si>
  <si>
    <t xml:space="preserve">earn_cashback_amt</t>
  </si>
  <si>
    <t xml:space="preserve">cash_bal_after</t>
  </si>
  <si>
    <t xml:space="preserve">cashback_bal_after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</si>
  <si>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결제 거래 고유 번호</t>
    </r>
  </si>
  <si>
    <r>
      <rPr>
        <i val="true"/>
        <sz val="9"/>
        <color rgb="FF44546A"/>
        <rFont val="Arial"/>
        <family val="0"/>
        <charset val="1"/>
      </rPr>
      <t xml:space="preserve">[FK] </t>
    </r>
    <r>
      <rPr>
        <i val="true"/>
        <sz val="9"/>
        <color rgb="FF44546A"/>
        <rFont val="Noto Sans CJK SC"/>
        <family val="2"/>
      </rPr>
      <t xml:space="preserve">가맹점 </t>
    </r>
    <r>
      <rPr>
        <i val="true"/>
        <sz val="9"/>
        <color rgb="FF44546A"/>
        <rFont val="Arial"/>
        <family val="0"/>
        <charset val="1"/>
      </rPr>
      <t xml:space="preserve">ID</t>
    </r>
  </si>
  <si>
    <r>
      <rPr>
        <i val="true"/>
        <sz val="9"/>
        <color rgb="FF44546A"/>
        <rFont val="Noto Sans CJK SC"/>
        <family val="2"/>
      </rPr>
      <t xml:space="preserve">결제일시</t>
    </r>
    <r>
      <rPr>
        <i val="true"/>
        <sz val="9"/>
        <color rgb="FF44546A"/>
        <rFont val="Arial"/>
        <family val="0"/>
        <charset val="1"/>
      </rPr>
      <t xml:space="preserve">(DATETIME(3))</t>
    </r>
  </si>
  <si>
    <r>
      <rPr>
        <i val="true"/>
        <sz val="9"/>
        <color rgb="FF44546A"/>
        <rFont val="Noto Sans CJK SC"/>
        <family val="2"/>
      </rPr>
      <t xml:space="preserve">결제 상태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승인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취소완료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취소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</si>
  <si>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총 결제 요청 금액</t>
  </si>
  <si>
    <t xml:space="preserve">우선 차감된 캐시백 사용액</t>
  </si>
  <si>
    <t xml:space="preserve">차감된 실충전금 결제액</t>
  </si>
  <si>
    <t xml:space="preserve">신규 적립 캐시백</t>
  </si>
  <si>
    <t xml:space="preserve">결제 후 실충전금 잔액</t>
  </si>
  <si>
    <t xml:space="preserve">결제 후 캐시백 잔액</t>
  </si>
  <si>
    <t xml:space="preserve">승인</t>
  </si>
  <si>
    <t xml:space="preserve">취소완료</t>
  </si>
  <si>
    <t xml:space="preserve">취소</t>
  </si>
  <si>
    <r>
      <rPr>
        <i val="true"/>
        <sz val="9"/>
        <color rgb="FFC00000"/>
        <rFont val="Noto Sans CJK SC"/>
        <family val="2"/>
      </rPr>
      <t xml:space="preserve">※ 취소 행</t>
    </r>
    <r>
      <rPr>
        <i val="true"/>
        <sz val="9"/>
        <color rgb="FFC00000"/>
        <rFont val="Arial"/>
        <family val="0"/>
        <charset val="1"/>
      </rPr>
      <t xml:space="preserve">(pay_status_cd='</t>
    </r>
    <r>
      <rPr>
        <i val="true"/>
        <sz val="9"/>
        <color rgb="FFC00000"/>
        <rFont val="Noto Sans CJK SC"/>
        <family val="2"/>
      </rPr>
      <t xml:space="preserve">취소</t>
    </r>
    <r>
      <rPr>
        <i val="true"/>
        <sz val="9"/>
        <color rgb="FFC00000"/>
        <rFont val="Arial"/>
        <family val="0"/>
        <charset val="1"/>
      </rPr>
      <t xml:space="preserve">')</t>
    </r>
    <r>
      <rPr>
        <i val="true"/>
        <sz val="9"/>
        <color rgb="FFC00000"/>
        <rFont val="Noto Sans CJK SC"/>
        <family val="2"/>
      </rPr>
      <t xml:space="preserve">은 모든 금액이 음수인 역분개 행입니다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원거래는 </t>
    </r>
    <r>
      <rPr>
        <i val="true"/>
        <sz val="9"/>
        <color rgb="FFC00000"/>
        <rFont val="Arial"/>
        <family val="0"/>
        <charset val="1"/>
      </rPr>
      <t xml:space="preserve">'</t>
    </r>
    <r>
      <rPr>
        <i val="true"/>
        <sz val="9"/>
        <color rgb="FFC00000"/>
        <rFont val="Noto Sans CJK SC"/>
        <family val="2"/>
      </rPr>
      <t xml:space="preserve">취소완료</t>
    </r>
    <r>
      <rPr>
        <i val="true"/>
        <sz val="9"/>
        <color rgb="FFC00000"/>
        <rFont val="Arial"/>
        <family val="0"/>
        <charset val="1"/>
      </rPr>
      <t xml:space="preserve">'</t>
    </r>
    <r>
      <rPr>
        <i val="true"/>
        <sz val="9"/>
        <color rgb="FFC00000"/>
        <rFont val="Noto Sans CJK SC"/>
        <family val="2"/>
      </rPr>
      <t xml:space="preserve">로 상태만 변경 — 둘을 잇는 </t>
    </r>
    <r>
      <rPr>
        <i val="true"/>
        <sz val="9"/>
        <color rgb="FFC00000"/>
        <rFont val="Arial"/>
        <family val="0"/>
        <charset val="1"/>
      </rPr>
      <t xml:space="preserve">original_payment_id </t>
    </r>
    <r>
      <rPr>
        <i val="true"/>
        <sz val="9"/>
        <color rgb="FFC00000"/>
        <rFont val="Noto Sans CJK SC"/>
        <family val="2"/>
      </rPr>
      <t xml:space="preserve">컬럼이 현재 설계에 없습니다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</si>
  <si>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BUDGET_MASTER — </t>
    </r>
    <r>
      <rPr>
        <b val="true"/>
        <sz val="13"/>
        <color rgb="FF1F3864"/>
        <rFont val="Noto Sans CJK SC"/>
        <family val="2"/>
      </rPr>
      <t xml:space="preserve">지자체 연도별 캐시백 예산</t>
    </r>
  </si>
  <si>
    <t xml:space="preserve">target_year</t>
  </si>
  <si>
    <t xml:space="preserve">total_budget</t>
  </si>
  <si>
    <t xml:space="preserve">used_budget</t>
  </si>
  <si>
    <t xml:space="preserve">available_budget</t>
  </si>
  <si>
    <t xml:space="preserve">upd_dt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</si>
  <si>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지자체 지역 코드</t>
    </r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</si>
  <si>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해당 연도</t>
    </r>
  </si>
  <si>
    <t xml:space="preserve">지자체 총 캐시백 예산</t>
  </si>
  <si>
    <t xml:space="preserve">현재 집행된 캐시백 총액</t>
  </si>
  <si>
    <t xml:space="preserve">남은 예산 잔액</t>
  </si>
  <si>
    <t xml:space="preserve">최종 갱신일시</t>
  </si>
  <si>
    <t xml:space="preserve">2026</t>
  </si>
  <si>
    <r>
      <rPr>
        <i val="true"/>
        <sz val="9"/>
        <color rgb="FFC00000"/>
        <rFont val="Arial"/>
        <family val="0"/>
        <charset val="1"/>
      </rPr>
      <t xml:space="preserve">※ used_budget</t>
    </r>
    <r>
      <rPr>
        <i val="true"/>
        <sz val="9"/>
        <color rgb="FFC00000"/>
        <rFont val="Noto Sans CJK SC"/>
        <family val="2"/>
      </rPr>
      <t xml:space="preserve">은 </t>
    </r>
    <r>
      <rPr>
        <i val="true"/>
        <sz val="9"/>
        <color rgb="FFC00000"/>
        <rFont val="Arial"/>
        <family val="0"/>
        <charset val="1"/>
      </rPr>
      <t xml:space="preserve">PAYMENT_TRANSACTION.earn_cashback_amt</t>
    </r>
    <r>
      <rPr>
        <i val="true"/>
        <sz val="9"/>
        <color rgb="FFC00000"/>
        <rFont val="Noto Sans CJK SC"/>
        <family val="2"/>
      </rPr>
      <t xml:space="preserve">의 지역별 합계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취소 회수분 반영</t>
    </r>
    <r>
      <rPr>
        <i val="true"/>
        <sz val="9"/>
        <color rgb="FFC00000"/>
        <rFont val="Arial"/>
        <family val="0"/>
        <charset val="1"/>
      </rPr>
      <t xml:space="preserve">)</t>
    </r>
    <r>
      <rPr>
        <i val="true"/>
        <sz val="9"/>
        <color rgb="FFC00000"/>
        <rFont val="Noto Sans CJK SC"/>
        <family val="2"/>
      </rPr>
      <t xml:space="preserve">입니다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</si>
  <si>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BUDGET_REGION — </t>
    </r>
    <r>
      <rPr>
        <b val="true"/>
        <sz val="13"/>
        <color rgb="FF1F3864"/>
        <rFont val="Noto Sans CJK SC"/>
        <family val="2"/>
      </rPr>
      <t xml:space="preserve">지역별 모집 정책 </t>
    </r>
    <r>
      <rPr>
        <b val="true"/>
        <sz val="13"/>
        <color rgb="FF1F3864"/>
        <rFont val="Arial"/>
        <family val="0"/>
        <charset val="1"/>
      </rPr>
      <t xml:space="preserve">/ </t>
    </r>
    <r>
      <rPr>
        <b val="true"/>
        <sz val="13"/>
        <color rgb="FF1F3864"/>
        <rFont val="Noto Sans CJK SC"/>
        <family val="2"/>
      </rPr>
      <t xml:space="preserve">인원</t>
    </r>
    <r>
      <rPr>
        <b val="true"/>
        <sz val="13"/>
        <color rgb="FF1F3864"/>
        <rFont val="Arial"/>
        <family val="0"/>
        <charset val="1"/>
      </rPr>
      <t xml:space="preserve">·</t>
    </r>
    <r>
      <rPr>
        <b val="true"/>
        <sz val="13"/>
        <color rgb="FF1F3864"/>
        <rFont val="Noto Sans CJK SC"/>
        <family val="2"/>
      </rPr>
      <t xml:space="preserve">한도 제약</t>
    </r>
  </si>
  <si>
    <t xml:space="preserve">policy_id</t>
  </si>
  <si>
    <t xml:space="preserve">policy_name</t>
  </si>
  <si>
    <t xml:space="preserve">max_participants</t>
  </si>
  <si>
    <t xml:space="preserve">current_participants</t>
  </si>
  <si>
    <t xml:space="preserve">individual_monthly_limit</t>
  </si>
  <si>
    <t xml:space="preserve">individual_cashback_limit</t>
  </si>
  <si>
    <t xml:space="preserve">start_date</t>
  </si>
  <si>
    <t xml:space="preserve">end_date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</si>
  <si>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정책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모집 </t>
    </r>
    <r>
      <rPr>
        <i val="true"/>
        <sz val="9"/>
        <color rgb="FF44546A"/>
        <rFont val="Arial"/>
        <family val="0"/>
        <charset val="1"/>
      </rPr>
      <t xml:space="preserve">ID</t>
    </r>
  </si>
  <si>
    <r>
      <rPr>
        <i val="true"/>
        <sz val="9"/>
        <color rgb="FF44546A"/>
        <rFont val="Arial"/>
        <family val="0"/>
        <charset val="1"/>
      </rPr>
      <t xml:space="preserve">[FK] </t>
    </r>
    <r>
      <rPr>
        <i val="true"/>
        <sz val="9"/>
        <color rgb="FF44546A"/>
        <rFont val="Noto Sans CJK SC"/>
        <family val="2"/>
      </rPr>
      <t xml:space="preserve">지자체 코드</t>
    </r>
  </si>
  <si>
    <r>
      <rPr>
        <i val="true"/>
        <sz val="9"/>
        <color rgb="FF44546A"/>
        <rFont val="Arial"/>
        <family val="0"/>
        <charset val="1"/>
      </rPr>
      <t xml:space="preserve">[FK] </t>
    </r>
    <r>
      <rPr>
        <i val="true"/>
        <sz val="9"/>
        <color rgb="FF44546A"/>
        <rFont val="Noto Sans CJK SC"/>
        <family val="2"/>
      </rPr>
      <t xml:space="preserve">대상 연도</t>
    </r>
  </si>
  <si>
    <t xml:space="preserve">정책명</t>
  </si>
  <si>
    <t xml:space="preserve">최대 제한 인원수</t>
  </si>
  <si>
    <r>
      <rPr>
        <i val="true"/>
        <sz val="9"/>
        <color rgb="FF44546A"/>
        <rFont val="Noto Sans CJK SC"/>
        <family val="2"/>
      </rPr>
      <t xml:space="preserve">현재 참여 인원수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승인 건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</si>
  <si>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개인별 월 결제 한도</t>
  </si>
  <si>
    <t xml:space="preserve">개인별 월 캐시백 한도</t>
  </si>
  <si>
    <r>
      <rPr>
        <i val="true"/>
        <sz val="9"/>
        <color rgb="FF44546A"/>
        <rFont val="Noto Sans CJK SC"/>
        <family val="2"/>
      </rPr>
      <t xml:space="preserve">상태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모집중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마감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</si>
  <si>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시작일</t>
  </si>
  <si>
    <t xml:space="preserve">종료일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</si>
  <si>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서울사랑상품권 캐시백 지원</t>
    </r>
  </si>
  <si>
    <t xml:space="preserve">모집중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</si>
  <si>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동백전 특별 캐시백</t>
    </r>
  </si>
  <si>
    <t xml:space="preserve">마감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</si>
  <si>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울산페이 소비촉진 캐시백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</si>
  <si>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고양페이 캐시백 지원</t>
    </r>
  </si>
  <si>
    <r>
      <rPr>
        <i val="true"/>
        <sz val="9"/>
        <color rgb="FFC00000"/>
        <rFont val="Noto Sans CJK SC"/>
        <family val="2"/>
      </rPr>
      <t xml:space="preserve">※ 캐시백 요율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서울 </t>
    </r>
    <r>
      <rPr>
        <i val="true"/>
        <sz val="9"/>
        <color rgb="FFC00000"/>
        <rFont val="Arial"/>
        <family val="0"/>
        <charset val="1"/>
      </rPr>
      <t xml:space="preserve">10% / </t>
    </r>
    <r>
      <rPr>
        <i val="true"/>
        <sz val="9"/>
        <color rgb="FFC00000"/>
        <rFont val="Noto Sans CJK SC"/>
        <family val="2"/>
      </rPr>
      <t xml:space="preserve">부산 </t>
    </r>
    <r>
      <rPr>
        <i val="true"/>
        <sz val="9"/>
        <color rgb="FFC00000"/>
        <rFont val="Arial"/>
        <family val="0"/>
        <charset val="1"/>
      </rPr>
      <t xml:space="preserve">12% / </t>
    </r>
    <r>
      <rPr>
        <i val="true"/>
        <sz val="9"/>
        <color rgb="FFC00000"/>
        <rFont val="Noto Sans CJK SC"/>
        <family val="2"/>
      </rPr>
      <t xml:space="preserve">울산 </t>
    </r>
    <r>
      <rPr>
        <i val="true"/>
        <sz val="9"/>
        <color rgb="FFC00000"/>
        <rFont val="Arial"/>
        <family val="0"/>
        <charset val="1"/>
      </rPr>
      <t xml:space="preserve">8% / </t>
    </r>
    <r>
      <rPr>
        <i val="true"/>
        <sz val="9"/>
        <color rgb="FFC00000"/>
        <rFont val="Noto Sans CJK SC"/>
        <family val="2"/>
      </rPr>
      <t xml:space="preserve">고양 </t>
    </r>
    <r>
      <rPr>
        <i val="true"/>
        <sz val="9"/>
        <color rgb="FFC00000"/>
        <rFont val="Arial"/>
        <family val="0"/>
        <charset val="1"/>
      </rPr>
      <t xml:space="preserve">7%)</t>
    </r>
    <r>
      <rPr>
        <i val="true"/>
        <sz val="9"/>
        <color rgb="FFC00000"/>
        <rFont val="Noto Sans CJK SC"/>
        <family val="2"/>
      </rPr>
      <t xml:space="preserve">이 이 테이블에 저장되지 않아 적립액을 데이터만으로 재현할 수 없습니다</t>
    </r>
    <r>
      <rPr>
        <i val="true"/>
        <sz val="9"/>
        <color rgb="FFC00000"/>
        <rFont val="Arial"/>
        <family val="0"/>
        <charset val="1"/>
      </rPr>
      <t xml:space="preserve">. cashback_rate </t>
    </r>
    <r>
      <rPr>
        <i val="true"/>
        <sz val="9"/>
        <color rgb="FFC00000"/>
        <rFont val="Noto Sans CJK SC"/>
        <family val="2"/>
      </rPr>
      <t xml:space="preserve">컬럼 추가를 권장합니다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</si>
  <si>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BUDGET_REGION_APPLY — </t>
    </r>
    <r>
      <rPr>
        <b val="true"/>
        <sz val="13"/>
        <color rgb="FF1F3864"/>
        <rFont val="Noto Sans CJK SC"/>
        <family val="2"/>
      </rPr>
      <t xml:space="preserve">정책 참여 신청</t>
    </r>
  </si>
  <si>
    <t xml:space="preserve">apply_id</t>
  </si>
  <si>
    <t xml:space="preserve">apply_status</t>
  </si>
  <si>
    <t xml:space="preserve">applied_dt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</si>
  <si>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신청 </t>
    </r>
    <r>
      <rPr>
        <i val="true"/>
        <sz val="9"/>
        <color rgb="FF44546A"/>
        <rFont val="Arial"/>
        <family val="0"/>
        <charset val="1"/>
      </rPr>
      <t xml:space="preserve">ID</t>
    </r>
  </si>
  <si>
    <r>
      <rPr>
        <i val="true"/>
        <sz val="9"/>
        <color rgb="FF44546A"/>
        <rFont val="Arial"/>
        <family val="0"/>
        <charset val="1"/>
      </rPr>
      <t xml:space="preserve">[FK] </t>
    </r>
    <r>
      <rPr>
        <i val="true"/>
        <sz val="9"/>
        <color rgb="FF44546A"/>
        <rFont val="Noto Sans CJK SC"/>
        <family val="2"/>
      </rPr>
      <t xml:space="preserve">정책 </t>
    </r>
    <r>
      <rPr>
        <i val="true"/>
        <sz val="9"/>
        <color rgb="FF44546A"/>
        <rFont val="Arial"/>
        <family val="0"/>
        <charset val="1"/>
      </rPr>
      <t xml:space="preserve">ID</t>
    </r>
  </si>
  <si>
    <r>
      <rPr>
        <i val="true"/>
        <sz val="9"/>
        <color rgb="FF44546A"/>
        <rFont val="Noto Sans CJK SC"/>
        <family val="2"/>
      </rPr>
      <t xml:space="preserve">신청상태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신청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승인</t>
    </r>
    <r>
      <rPr>
        <i val="true"/>
        <sz val="9"/>
        <color rgb="FF44546A"/>
        <rFont val="Arial"/>
        <family val="0"/>
        <charset val="1"/>
      </rPr>
      <t xml:space="preserve">/</t>
    </r>
    <r>
      <rPr>
        <i val="true"/>
        <sz val="9"/>
        <color rgb="FF44546A"/>
        <rFont val="Noto Sans CJK SC"/>
        <family val="2"/>
      </rPr>
      <t xml:space="preserve">반려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</si>
  <si>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신청 일시</t>
  </si>
  <si>
    <t xml:space="preserve">반려</t>
  </si>
  <si>
    <t xml:space="preserve">신청</t>
  </si>
  <si>
    <r>
      <rPr>
        <i val="true"/>
        <sz val="9"/>
        <color rgb="FFC00000"/>
        <rFont val="Arial"/>
        <family val="0"/>
        <charset val="1"/>
      </rPr>
      <t xml:space="preserve">※ apply_status='</t>
    </r>
    <r>
      <rPr>
        <i val="true"/>
        <sz val="9"/>
        <color rgb="FFC00000"/>
        <rFont val="Noto Sans CJK SC"/>
        <family val="2"/>
      </rPr>
      <t xml:space="preserve">승인</t>
    </r>
    <r>
      <rPr>
        <i val="true"/>
        <sz val="9"/>
        <color rgb="FFC00000"/>
        <rFont val="Arial"/>
        <family val="0"/>
        <charset val="1"/>
      </rPr>
      <t xml:space="preserve">'</t>
    </r>
    <r>
      <rPr>
        <i val="true"/>
        <sz val="9"/>
        <color rgb="FFC00000"/>
        <rFont val="Noto Sans CJK SC"/>
        <family val="2"/>
      </rPr>
      <t xml:space="preserve">인 건만 캐시백이 적립됩니다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임시우 </t>
    </r>
    <r>
      <rPr>
        <i val="true"/>
        <sz val="9"/>
        <color rgb="FFC00000"/>
        <rFont val="Arial"/>
        <family val="0"/>
        <charset val="1"/>
      </rPr>
      <t xml:space="preserve">100008</t>
    </r>
    <r>
      <rPr>
        <i val="true"/>
        <sz val="9"/>
        <color rgb="FFC00000"/>
        <rFont val="Noto Sans CJK SC"/>
        <family val="2"/>
      </rPr>
      <t xml:space="preserve">은 </t>
    </r>
    <r>
      <rPr>
        <i val="true"/>
        <sz val="9"/>
        <color rgb="FFC00000"/>
        <rFont val="Arial"/>
        <family val="0"/>
        <charset val="1"/>
      </rPr>
      <t xml:space="preserve">'</t>
    </r>
    <r>
      <rPr>
        <i val="true"/>
        <sz val="9"/>
        <color rgb="FFC00000"/>
        <rFont val="Noto Sans CJK SC"/>
        <family val="2"/>
      </rPr>
      <t xml:space="preserve">신청</t>
    </r>
    <r>
      <rPr>
        <i val="true"/>
        <sz val="9"/>
        <color rgb="FFC00000"/>
        <rFont val="Arial"/>
        <family val="0"/>
        <charset val="1"/>
      </rPr>
      <t xml:space="preserve">' </t>
    </r>
    <r>
      <rPr>
        <i val="true"/>
        <sz val="9"/>
        <color rgb="FFC00000"/>
        <rFont val="Noto Sans CJK SC"/>
        <family val="2"/>
      </rPr>
      <t xml:space="preserve">상태라 충전만 존재</t>
    </r>
    <r>
      <rPr>
        <i val="true"/>
        <sz val="9"/>
        <color rgb="FFC00000"/>
        <rFont val="Arial"/>
        <family val="0"/>
        <charset val="1"/>
      </rPr>
      <t xml:space="preserve">).</t>
    </r>
  </si>
  <si>
    <r>
      <rPr>
        <b val="true"/>
        <sz val="13"/>
        <color rgb="FF1F3864"/>
        <rFont val="Arial"/>
        <family val="0"/>
        <charset val="1"/>
      </rPr>
      <t xml:space="preserve">USER_LIMIT_MANAGEMENT — </t>
    </r>
    <r>
      <rPr>
        <b val="true"/>
        <sz val="13"/>
        <color rgb="FF1F3864"/>
        <rFont val="Noto Sans CJK SC"/>
        <family val="2"/>
      </rPr>
      <t xml:space="preserve">고객 월별 한도 소진 현황</t>
    </r>
  </si>
  <si>
    <t xml:space="preserve">limit_id</t>
  </si>
  <si>
    <t xml:space="preserve">target_month</t>
  </si>
  <si>
    <t xml:space="preserve">monthly_pay_amt</t>
  </si>
  <si>
    <t xml:space="preserve">monthly_earned_cashback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</si>
  <si>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한도 관리 </t>
    </r>
    <r>
      <rPr>
        <i val="true"/>
        <sz val="9"/>
        <color rgb="FF44546A"/>
        <rFont val="Arial"/>
        <family val="0"/>
        <charset val="1"/>
      </rPr>
      <t xml:space="preserve">ID</t>
    </r>
  </si>
  <si>
    <r>
      <rPr>
        <i val="true"/>
        <sz val="9"/>
        <color rgb="FF44546A"/>
        <rFont val="Noto Sans CJK SC"/>
        <family val="2"/>
      </rPr>
      <t xml:space="preserve">대상 월</t>
    </r>
    <r>
      <rPr>
        <i val="true"/>
        <sz val="9"/>
        <color rgb="FF44546A"/>
        <rFont val="Arial"/>
        <family val="0"/>
        <charset val="1"/>
      </rPr>
      <t xml:space="preserve">(YYYYMM)</t>
    </r>
  </si>
  <si>
    <r>
      <rPr>
        <i val="true"/>
        <sz val="9"/>
        <color rgb="FF44546A"/>
        <rFont val="Noto Sans CJK SC"/>
        <family val="2"/>
      </rPr>
      <t xml:space="preserve">당월 누적 실결제 금액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취소 차감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</si>
  <si>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당월 누적 받은 캐시백</t>
  </si>
  <si>
    <t xml:space="preserve">202608</t>
  </si>
  <si>
    <t xml:space="preserve">202609</t>
  </si>
  <si>
    <r>
      <rPr>
        <i val="true"/>
        <sz val="9"/>
        <color rgb="FFC00000"/>
        <rFont val="Arial"/>
        <family val="0"/>
        <charset val="1"/>
      </rPr>
      <t xml:space="preserve">※ monthly_pay_amt</t>
    </r>
    <r>
      <rPr>
        <i val="true"/>
        <sz val="9"/>
        <color rgb="FFC00000"/>
        <rFont val="Noto Sans CJK SC"/>
        <family val="2"/>
      </rPr>
      <t xml:space="preserve">는 </t>
    </r>
    <r>
      <rPr>
        <i val="true"/>
        <sz val="9"/>
        <color rgb="FFC00000"/>
        <rFont val="Arial"/>
        <family val="0"/>
        <charset val="1"/>
      </rPr>
      <t xml:space="preserve">total_tx_amt </t>
    </r>
    <r>
      <rPr>
        <i val="true"/>
        <sz val="9"/>
        <color rgb="FFC00000"/>
        <rFont val="Noto Sans CJK SC"/>
        <family val="2"/>
      </rPr>
      <t xml:space="preserve">기준으로 집계했습니다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캐시백 결제분 포함</t>
    </r>
    <r>
      <rPr>
        <i val="true"/>
        <sz val="9"/>
        <color rgb="FFC00000"/>
        <rFont val="Arial"/>
        <family val="0"/>
        <charset val="1"/>
      </rPr>
      <t xml:space="preserve">). </t>
    </r>
    <r>
      <rPr>
        <i val="true"/>
        <sz val="9"/>
        <color rgb="FFC00000"/>
        <rFont val="Noto Sans CJK SC"/>
        <family val="2"/>
      </rPr>
      <t xml:space="preserve">정의가 </t>
    </r>
    <r>
      <rPr>
        <i val="true"/>
        <sz val="9"/>
        <color rgb="FFC00000"/>
        <rFont val="Arial"/>
        <family val="0"/>
        <charset val="1"/>
      </rPr>
      <t xml:space="preserve">pay_cash_amt </t>
    </r>
    <r>
      <rPr>
        <i val="true"/>
        <sz val="9"/>
        <color rgb="FFC00000"/>
        <rFont val="Noto Sans CJK SC"/>
        <family val="2"/>
      </rPr>
      <t xml:space="preserve">기준인지 확정 필요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또한 지역 구분이 없어 다지역 사용자</t>
    </r>
    <r>
      <rPr>
        <i val="true"/>
        <sz val="9"/>
        <color rgb="FFC00000"/>
        <rFont val="Arial"/>
        <family val="0"/>
        <charset val="1"/>
      </rPr>
      <t xml:space="preserve">(100001 </t>
    </r>
    <r>
      <rPr>
        <i val="true"/>
        <sz val="9"/>
        <color rgb="FFC00000"/>
        <rFont val="Noto Sans CJK SC"/>
        <family val="2"/>
      </rPr>
      <t xml:space="preserve">서울</t>
    </r>
    <r>
      <rPr>
        <i val="true"/>
        <sz val="9"/>
        <color rgb="FFC00000"/>
        <rFont val="Arial"/>
        <family val="0"/>
        <charset val="1"/>
      </rPr>
      <t xml:space="preserve">+</t>
    </r>
    <r>
      <rPr>
        <i val="true"/>
        <sz val="9"/>
        <color rgb="FFC00000"/>
        <rFont val="Noto Sans CJK SC"/>
        <family val="2"/>
      </rPr>
      <t xml:space="preserve">고양</t>
    </r>
    <r>
      <rPr>
        <i val="true"/>
        <sz val="9"/>
        <color rgb="FFC00000"/>
        <rFont val="Arial"/>
        <family val="0"/>
        <charset val="1"/>
      </rPr>
      <t xml:space="preserve">, 100004 </t>
    </r>
    <r>
      <rPr>
        <i val="true"/>
        <sz val="9"/>
        <color rgb="FFC00000"/>
        <rFont val="Noto Sans CJK SC"/>
        <family val="2"/>
      </rPr>
      <t xml:space="preserve">부산</t>
    </r>
    <r>
      <rPr>
        <i val="true"/>
        <sz val="9"/>
        <color rgb="FFC00000"/>
        <rFont val="Arial"/>
        <family val="0"/>
        <charset val="1"/>
      </rPr>
      <t xml:space="preserve">+</t>
    </r>
    <r>
      <rPr>
        <i val="true"/>
        <sz val="9"/>
        <color rgb="FFC00000"/>
        <rFont val="Noto Sans CJK SC"/>
        <family val="2"/>
      </rPr>
      <t xml:space="preserve">울산</t>
    </r>
    <r>
      <rPr>
        <i val="true"/>
        <sz val="9"/>
        <color rgb="FFC00000"/>
        <rFont val="Arial"/>
        <family val="0"/>
        <charset val="1"/>
      </rPr>
      <t xml:space="preserve">, 100005 </t>
    </r>
    <r>
      <rPr>
        <i val="true"/>
        <sz val="9"/>
        <color rgb="FFC00000"/>
        <rFont val="Noto Sans CJK SC"/>
        <family val="2"/>
      </rPr>
      <t xml:space="preserve">서울</t>
    </r>
    <r>
      <rPr>
        <i val="true"/>
        <sz val="9"/>
        <color rgb="FFC00000"/>
        <rFont val="Arial"/>
        <family val="0"/>
        <charset val="1"/>
      </rPr>
      <t xml:space="preserve">+</t>
    </r>
    <r>
      <rPr>
        <i val="true"/>
        <sz val="9"/>
        <color rgb="FFC00000"/>
        <rFont val="Noto Sans CJK SC"/>
        <family val="2"/>
      </rPr>
      <t xml:space="preserve">울산</t>
    </r>
    <r>
      <rPr>
        <i val="true"/>
        <sz val="9"/>
        <color rgb="FFC00000"/>
        <rFont val="Arial"/>
        <family val="0"/>
        <charset val="1"/>
      </rPr>
      <t xml:space="preserve">)</t>
    </r>
    <r>
      <rPr>
        <i val="true"/>
        <sz val="9"/>
        <color rgb="FFC00000"/>
        <rFont val="Noto Sans CJK SC"/>
        <family val="2"/>
      </rPr>
      <t xml:space="preserve">의 실적이 한 행에 합산됩니다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</si>
  <si>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MERCHANT — </t>
    </r>
    <r>
      <rPr>
        <b val="true"/>
        <sz val="13"/>
        <color rgb="FF1F3864"/>
        <rFont val="Noto Sans CJK SC"/>
        <family val="2"/>
      </rPr>
      <t xml:space="preserve">가맹점</t>
    </r>
  </si>
  <si>
    <t xml:space="preserve">biz_no</t>
  </si>
  <si>
    <t xml:space="preserve">merchant_name</t>
  </si>
  <si>
    <t xml:space="preserve">category_code</t>
  </si>
  <si>
    <t xml:space="preserve">annual_revenue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</si>
  <si>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가맹점 </t>
    </r>
    <r>
      <rPr>
        <i val="true"/>
        <sz val="9"/>
        <color rgb="FF44546A"/>
        <rFont val="Arial"/>
        <family val="0"/>
        <charset val="1"/>
      </rPr>
      <t xml:space="preserve">ID</t>
    </r>
  </si>
  <si>
    <t xml:space="preserve">사업자등록번호</t>
  </si>
  <si>
    <t xml:space="preserve">가맹점명</t>
  </si>
  <si>
    <t xml:space="preserve">업종 코드</t>
  </si>
  <si>
    <r>
      <rPr>
        <i val="true"/>
        <sz val="9"/>
        <color rgb="FF44546A"/>
        <rFont val="Noto Sans CJK SC"/>
        <family val="2"/>
      </rPr>
      <t xml:space="preserve">연 매출액</t>
    </r>
    <r>
      <rPr>
        <i val="true"/>
        <sz val="9"/>
        <color rgb="FF44546A"/>
        <rFont val="Arial"/>
        <family val="0"/>
        <charset val="1"/>
      </rPr>
      <t xml:space="preserve">(30</t>
    </r>
    <r>
      <rPr>
        <i val="true"/>
        <sz val="9"/>
        <color rgb="FF44546A"/>
        <rFont val="Noto Sans CJK SC"/>
        <family val="2"/>
      </rPr>
      <t xml:space="preserve">억 제한 검증용</t>
    </r>
    <r>
      <rPr>
        <i val="true"/>
        <sz val="9"/>
        <color rgb="FF44546A"/>
        <rFont val="Arial"/>
        <family val="0"/>
        <charset val="1"/>
      </rPr>
      <t xml:space="preserve">)</t>
    </r>
  </si>
  <si>
    <t xml:space="preserve">가맹점 상태</t>
  </si>
  <si>
    <t xml:space="preserve">101-81-45231</t>
  </si>
  <si>
    <t xml:space="preserve">종로김밥 본점</t>
  </si>
  <si>
    <t xml:space="preserve">F001</t>
  </si>
  <si>
    <t xml:space="preserve">110-22-77810</t>
  </si>
  <si>
    <t xml:space="preserve">광장시장 청년약국</t>
  </si>
  <si>
    <t xml:space="preserve">M002</t>
  </si>
  <si>
    <t xml:space="preserve">129-86-33902</t>
  </si>
  <si>
    <t xml:space="preserve">일산 하나로마트</t>
  </si>
  <si>
    <t xml:space="preserve">R003</t>
  </si>
  <si>
    <t xml:space="preserve">131-81-90015</t>
  </si>
  <si>
    <t xml:space="preserve">정발산 커피로스터스</t>
  </si>
  <si>
    <t xml:space="preserve">F002</t>
  </si>
  <si>
    <t xml:space="preserve">605-12-66740</t>
  </si>
  <si>
    <t xml:space="preserve">남포동 문구사</t>
  </si>
  <si>
    <t xml:space="preserve">G004</t>
  </si>
  <si>
    <t xml:space="preserve">607-81-11223</t>
  </si>
  <si>
    <t xml:space="preserve">메가마트 부산중구점</t>
  </si>
  <si>
    <t xml:space="preserve">가맹해지</t>
  </si>
  <si>
    <t xml:space="preserve">610-05-24418</t>
  </si>
  <si>
    <t xml:space="preserve">삼산동 한우정육점</t>
  </si>
  <si>
    <t xml:space="preserve">F003</t>
  </si>
  <si>
    <t xml:space="preserve">620-81-55106</t>
  </si>
  <si>
    <t xml:space="preserve">무거동 온누리약국</t>
  </si>
  <si>
    <r>
      <rPr>
        <i val="true"/>
        <sz val="9"/>
        <color rgb="FFC00000"/>
        <rFont val="Noto Sans CJK SC"/>
        <family val="2"/>
      </rPr>
      <t xml:space="preserve">※ 연매출 </t>
    </r>
    <r>
      <rPr>
        <i val="true"/>
        <sz val="9"/>
        <color rgb="FFC00000"/>
        <rFont val="Arial"/>
        <family val="0"/>
        <charset val="1"/>
      </rPr>
      <t xml:space="preserve">30</t>
    </r>
    <r>
      <rPr>
        <i val="true"/>
        <sz val="9"/>
        <color rgb="FFC00000"/>
        <rFont val="Noto Sans CJK SC"/>
        <family val="2"/>
      </rPr>
      <t xml:space="preserve">억 초과 가맹점</t>
    </r>
    <r>
      <rPr>
        <i val="true"/>
        <sz val="9"/>
        <color rgb="FFC00000"/>
        <rFont val="Arial"/>
        <family val="0"/>
        <charset val="1"/>
      </rPr>
      <t xml:space="preserve">(700006, 39.2</t>
    </r>
    <r>
      <rPr>
        <i val="true"/>
        <sz val="9"/>
        <color rgb="FFC00000"/>
        <rFont val="Noto Sans CJK SC"/>
        <family val="2"/>
      </rPr>
      <t xml:space="preserve">억</t>
    </r>
    <r>
      <rPr>
        <i val="true"/>
        <sz val="9"/>
        <color rgb="FFC00000"/>
        <rFont val="Arial"/>
        <family val="0"/>
        <charset val="1"/>
      </rPr>
      <t xml:space="preserve">)</t>
    </r>
    <r>
      <rPr>
        <i val="true"/>
        <sz val="9"/>
        <color rgb="FFC00000"/>
        <rFont val="Noto Sans CJK SC"/>
        <family val="2"/>
      </rPr>
      <t xml:space="preserve">은 가맹해지 상태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매출은 변동값이므로 별도 연매출 이력 테이블을 두는 편이 안전합니다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</si>
  <si>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SETTLEMENT_DAILY — </t>
    </r>
    <r>
      <rPr>
        <b val="true"/>
        <sz val="13"/>
        <color rgb="FF1F3864"/>
        <rFont val="Noto Sans CJK SC"/>
        <family val="2"/>
      </rPr>
      <t xml:space="preserve">가맹점 일일 정산</t>
    </r>
  </si>
  <si>
    <t xml:space="preserve">settlement_id</t>
  </si>
  <si>
    <t xml:space="preserve">settlement_date</t>
  </si>
  <si>
    <t xml:space="preserve">total_sales_amt</t>
  </si>
  <si>
    <t xml:space="preserve">fee_amt</t>
  </si>
  <si>
    <t xml:space="preserve">actual_payout_amt</t>
  </si>
  <si>
    <t xml:space="preserve">payout_status</t>
  </si>
  <si>
    <t xml:space="preserve">payout_dt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</si>
  <si>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정산 </t>
    </r>
    <r>
      <rPr>
        <i val="true"/>
        <sz val="9"/>
        <color rgb="FF44546A"/>
        <rFont val="Arial"/>
        <family val="0"/>
        <charset val="1"/>
      </rPr>
      <t xml:space="preserve">ID</t>
    </r>
  </si>
  <si>
    <t xml:space="preserve">정산 일자</t>
  </si>
  <si>
    <r>
      <rPr>
        <i val="true"/>
        <sz val="9"/>
        <color rgb="FF44546A"/>
        <rFont val="Noto Sans CJK SC"/>
        <family val="2"/>
      </rPr>
      <t xml:space="preserve">총 결제 매출액</t>
    </r>
    <r>
      <rPr>
        <i val="true"/>
        <sz val="9"/>
        <color rgb="FF44546A"/>
        <rFont val="Arial"/>
        <family val="0"/>
        <charset val="1"/>
      </rPr>
      <t xml:space="preserve">(</t>
    </r>
    <r>
      <rPr>
        <i val="true"/>
        <sz val="9"/>
        <color rgb="FF44546A"/>
        <rFont val="Noto Sans CJK SC"/>
        <family val="2"/>
      </rPr>
      <t xml:space="preserve">취소 반영</t>
    </r>
    <r>
      <rPr>
        <i val="true"/>
        <sz val="9"/>
        <color rgb="FF44546A"/>
        <rFont val="Arial"/>
        <family val="0"/>
        <charset val="1"/>
      </rPr>
      <t xml:space="preserve">)</t>
    </r>
  </si>
  <si>
    <r>
      <rPr>
        <i val="true"/>
        <sz val="9"/>
        <color rgb="FF44546A"/>
        <rFont val="Noto Sans CJK SC"/>
        <family val="2"/>
      </rPr>
      <t xml:space="preserve">수수료 금액</t>
    </r>
    <r>
      <rPr>
        <i val="true"/>
        <sz val="9"/>
        <color rgb="FF44546A"/>
        <rFont val="Arial"/>
        <family val="0"/>
        <charset val="1"/>
      </rPr>
      <t xml:space="preserve">(0.3%)</t>
    </r>
  </si>
  <si>
    <t xml:space="preserve">실지급액</t>
  </si>
  <si>
    <t xml:space="preserve">지급 상태</t>
  </si>
  <si>
    <r>
      <rPr>
        <i val="true"/>
        <sz val="9"/>
        <color rgb="FF44546A"/>
        <rFont val="Noto Sans CJK SC"/>
        <family val="2"/>
      </rPr>
      <t xml:space="preserve">지급 완료 일시</t>
    </r>
    <r>
      <rPr>
        <i val="true"/>
        <sz val="9"/>
        <color rgb="FF44546A"/>
        <rFont val="Arial"/>
        <family val="0"/>
        <charset val="1"/>
      </rPr>
      <t xml:space="preserve">(D+2)</t>
    </r>
  </si>
  <si>
    <t xml:space="preserve">지급완료</t>
  </si>
  <si>
    <r>
      <rPr>
        <i val="true"/>
        <sz val="9"/>
        <color rgb="FFC00000"/>
        <rFont val="Noto Sans CJK SC"/>
        <family val="2"/>
      </rPr>
      <t xml:space="preserve">※ 취소가 발생한 날은 매출액이 음수인 차감 정산 행이 생깁니다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예</t>
    </r>
    <r>
      <rPr>
        <i val="true"/>
        <sz val="9"/>
        <color rgb="FFC00000"/>
        <rFont val="Arial"/>
        <family val="0"/>
        <charset val="1"/>
      </rPr>
      <t xml:space="preserve">: 8/16 </t>
    </r>
    <r>
      <rPr>
        <i val="true"/>
        <sz val="9"/>
        <color rgb="FFC00000"/>
        <rFont val="Noto Sans CJK SC"/>
        <family val="2"/>
      </rPr>
      <t xml:space="preserve">가맹점 </t>
    </r>
    <r>
      <rPr>
        <i val="true"/>
        <sz val="9"/>
        <color rgb="FFC00000"/>
        <rFont val="Arial"/>
        <family val="0"/>
        <charset val="1"/>
      </rPr>
      <t xml:space="preserve">700002). </t>
    </r>
    <r>
      <rPr>
        <i val="true"/>
        <sz val="9"/>
        <color rgb="FFC00000"/>
        <rFont val="Noto Sans CJK SC"/>
        <family val="2"/>
      </rPr>
      <t xml:space="preserve">원거래일로 소급 조정할지 취소일에 차감할지 정책 확정 필요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</si>
  <si>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CHANNEL_USER_LOG — </t>
    </r>
    <r>
      <rPr>
        <b val="true"/>
        <sz val="13"/>
        <color rgb="FF1F3864"/>
        <rFont val="Noto Sans CJK SC"/>
        <family val="2"/>
      </rPr>
      <t xml:space="preserve">앱 접속 로그 </t>
    </r>
    <r>
      <rPr>
        <b val="true"/>
        <sz val="13"/>
        <color rgb="FF1F3864"/>
        <rFont val="Arial"/>
        <family val="0"/>
        <charset val="1"/>
      </rPr>
      <t xml:space="preserve">(</t>
    </r>
    <r>
      <rPr>
        <b val="true"/>
        <sz val="13"/>
        <color rgb="FF1F3864"/>
        <rFont val="Noto Sans CJK SC"/>
        <family val="2"/>
      </rPr>
      <t xml:space="preserve">채널계</t>
    </r>
    <r>
      <rPr>
        <b val="true"/>
        <sz val="13"/>
        <color rgb="FF1F3864"/>
        <rFont val="Arial"/>
        <family val="0"/>
        <charset val="1"/>
      </rPr>
      <t xml:space="preserve">)</t>
    </r>
  </si>
  <si>
    <t xml:space="preserve">log_id</t>
  </si>
  <si>
    <t xml:space="preserve">access_dt</t>
  </si>
  <si>
    <t xml:space="preserve">access_ip</t>
  </si>
  <si>
    <t xml:space="preserve">device_id</t>
  </si>
  <si>
    <t xml:space="preserve">login_success_yn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</si>
  <si>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로그 </t>
    </r>
    <r>
      <rPr>
        <i val="true"/>
        <sz val="9"/>
        <color rgb="FF44546A"/>
        <rFont val="Arial"/>
        <family val="0"/>
        <charset val="1"/>
      </rPr>
      <t xml:space="preserve">ID</t>
    </r>
  </si>
  <si>
    <t xml:space="preserve">접속 일시</t>
  </si>
  <si>
    <r>
      <rPr>
        <i val="true"/>
        <sz val="9"/>
        <color rgb="FF44546A"/>
        <rFont val="Noto Sans CJK SC"/>
        <family val="2"/>
      </rPr>
      <t xml:space="preserve">접속 </t>
    </r>
    <r>
      <rPr>
        <i val="true"/>
        <sz val="9"/>
        <color rgb="FF44546A"/>
        <rFont val="Arial"/>
        <family val="0"/>
        <charset val="1"/>
      </rPr>
      <t xml:space="preserve">IP </t>
    </r>
    <r>
      <rPr>
        <i val="true"/>
        <sz val="9"/>
        <color rgb="FF44546A"/>
        <rFont val="Noto Sans CJK SC"/>
        <family val="2"/>
      </rPr>
      <t xml:space="preserve">주소</t>
    </r>
  </si>
  <si>
    <t xml:space="preserve">등록 기기 식별값</t>
  </si>
  <si>
    <t xml:space="preserve">로그인 성공 여부</t>
  </si>
  <si>
    <t xml:space="preserve">203.241.18.77</t>
  </si>
  <si>
    <t xml:space="preserve">DEV-AOS-9F2C1A</t>
  </si>
  <si>
    <t xml:space="preserve">112.175.44.201</t>
  </si>
  <si>
    <t xml:space="preserve">DEV-IOS-5B71E0</t>
  </si>
  <si>
    <t xml:space="preserve">58.230.12.8</t>
  </si>
  <si>
    <t xml:space="preserve">DEV-AOS-31C7B9</t>
  </si>
  <si>
    <t xml:space="preserve">1.209.88.145</t>
  </si>
  <si>
    <t xml:space="preserve">DEV-IOS-77A0D4</t>
  </si>
  <si>
    <t xml:space="preserve">175.223.9.62</t>
  </si>
  <si>
    <t xml:space="preserve">DEV-IOS-0C4E88</t>
  </si>
  <si>
    <t xml:space="preserve">45.142.212.30</t>
  </si>
  <si>
    <t xml:space="preserve">DEV-AOS-UNKNOWN</t>
  </si>
  <si>
    <t xml:space="preserve">211.36.140.19</t>
  </si>
  <si>
    <t xml:space="preserve">DEV-AOS-A11B3F</t>
  </si>
  <si>
    <t xml:space="preserve">119.198.75.244</t>
  </si>
  <si>
    <t xml:space="preserve">DEV-IOS-E93D62</t>
  </si>
  <si>
    <t xml:space="preserve">121.166.30.55</t>
  </si>
  <si>
    <t xml:space="preserve">DEV-AOS-0C4E88</t>
  </si>
  <si>
    <r>
      <rPr>
        <i val="true"/>
        <sz val="9"/>
        <color rgb="FFC00000"/>
        <rFont val="Arial"/>
        <family val="0"/>
        <charset val="1"/>
      </rPr>
      <t xml:space="preserve">※ log_id 2000007(</t>
    </r>
    <r>
      <rPr>
        <i val="true"/>
        <sz val="9"/>
        <color rgb="FFC00000"/>
        <rFont val="Noto Sans CJK SC"/>
        <family val="2"/>
      </rPr>
      <t xml:space="preserve">강준서</t>
    </r>
    <r>
      <rPr>
        <i val="true"/>
        <sz val="9"/>
        <color rgb="FFC00000"/>
        <rFont val="Arial"/>
        <family val="0"/>
        <charset val="1"/>
      </rPr>
      <t xml:space="preserve">)</t>
    </r>
    <r>
      <rPr>
        <i val="true"/>
        <sz val="9"/>
        <color rgb="FFC00000"/>
        <rFont val="Noto Sans CJK SC"/>
        <family val="2"/>
      </rPr>
      <t xml:space="preserve">은 해외 </t>
    </r>
    <r>
      <rPr>
        <i val="true"/>
        <sz val="9"/>
        <color rgb="FFC00000"/>
        <rFont val="Arial"/>
        <family val="0"/>
        <charset val="1"/>
      </rPr>
      <t xml:space="preserve">IP·</t>
    </r>
    <r>
      <rPr>
        <i val="true"/>
        <sz val="9"/>
        <color rgb="FFC00000"/>
        <rFont val="Noto Sans CJK SC"/>
        <family val="2"/>
      </rPr>
      <t xml:space="preserve">미등록 기기에서의 로그인 실패 — 이상거래탐지</t>
    </r>
    <r>
      <rPr>
        <i val="true"/>
        <sz val="9"/>
        <color rgb="FFC00000"/>
        <rFont val="Arial"/>
        <family val="0"/>
        <charset val="1"/>
      </rPr>
      <t xml:space="preserve">(FDS) </t>
    </r>
    <r>
      <rPr>
        <i val="true"/>
        <sz val="9"/>
        <color rgb="FFC00000"/>
        <rFont val="Noto Sans CJK SC"/>
        <family val="2"/>
      </rPr>
      <t xml:space="preserve">룰 테스트용 행입니다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</si>
  <si>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EXTERNAL_TELEGRAM_LOG — </t>
    </r>
    <r>
      <rPr>
        <b val="true"/>
        <sz val="13"/>
        <color rgb="FF1F3864"/>
        <rFont val="Noto Sans CJK SC"/>
        <family val="2"/>
      </rPr>
      <t xml:space="preserve">대외 연계 전문 로그</t>
    </r>
  </si>
  <si>
    <t xml:space="preserve">telegram_id</t>
  </si>
  <si>
    <t xml:space="preserve">external_org_code</t>
  </si>
  <si>
    <t xml:space="preserve">telegram_type</t>
  </si>
  <si>
    <t xml:space="preserve">response_code</t>
  </si>
  <si>
    <t xml:space="preserve">transmit_dt</t>
  </si>
  <si>
    <r>
      <rPr>
        <i val="true"/>
        <sz val="9"/>
        <color rgb="FF44546A"/>
        <rFont val="Arial"/>
        <family val="0"/>
        <charset val="1"/>
      </rPr>
      <t xml:space="preserve">[PK] </t>
    </r>
    <r>
      <rPr>
        <i val="true"/>
        <sz val="9"/>
        <color rgb="FF44546A"/>
        <rFont val="Noto Sans CJK SC"/>
        <family val="2"/>
      </rPr>
      <t xml:space="preserve">전문 </t>
    </r>
    <r>
      <rPr>
        <i val="true"/>
        <sz val="9"/>
        <color rgb="FF44546A"/>
        <rFont val="Arial"/>
        <family val="0"/>
        <charset val="1"/>
      </rPr>
      <t xml:space="preserve">ID</t>
    </r>
  </si>
  <si>
    <r>
      <rPr>
        <i val="true"/>
        <sz val="9"/>
        <color rgb="FF44546A"/>
        <rFont val="Arial"/>
        <family val="0"/>
        <charset val="1"/>
      </rPr>
      <t xml:space="preserve">[FK] </t>
    </r>
    <r>
      <rPr>
        <i val="true"/>
        <sz val="9"/>
        <color rgb="FF44546A"/>
        <rFont val="Noto Sans CJK SC"/>
        <family val="2"/>
      </rPr>
      <t xml:space="preserve">결제 거래 </t>
    </r>
    <r>
      <rPr>
        <i val="true"/>
        <sz val="9"/>
        <color rgb="FF44546A"/>
        <rFont val="Arial"/>
        <family val="0"/>
        <charset val="1"/>
      </rPr>
      <t xml:space="preserve">ID</t>
    </r>
  </si>
  <si>
    <t xml:space="preserve">연계 기관 코드</t>
  </si>
  <si>
    <t xml:space="preserve">전문 종별</t>
  </si>
  <si>
    <t xml:space="preserve">응답 코드</t>
  </si>
  <si>
    <t xml:space="preserve">송수신 일시</t>
  </si>
  <si>
    <t xml:space="preserve">KFTC</t>
  </si>
  <si>
    <t xml:space="preserve">PAY_REQ_0200</t>
  </si>
  <si>
    <t xml:space="preserve">0000</t>
  </si>
  <si>
    <t xml:space="preserve">CANCEL_REQ_0420</t>
  </si>
  <si>
    <r>
      <rPr>
        <i val="true"/>
        <sz val="9"/>
        <color rgb="FFC00000"/>
        <rFont val="Noto Sans CJK SC"/>
        <family val="2"/>
      </rPr>
      <t xml:space="preserve">※ 결제 </t>
    </r>
    <r>
      <rPr>
        <i val="true"/>
        <sz val="9"/>
        <color rgb="FFC00000"/>
        <rFont val="Arial"/>
        <family val="0"/>
        <charset val="1"/>
      </rPr>
      <t xml:space="preserve">1</t>
    </r>
    <r>
      <rPr>
        <i val="true"/>
        <sz val="9"/>
        <color rgb="FFC00000"/>
        <rFont val="Noto Sans CJK SC"/>
        <family val="2"/>
      </rPr>
      <t xml:space="preserve">건당 전문 </t>
    </r>
    <r>
      <rPr>
        <i val="true"/>
        <sz val="9"/>
        <color rgb="FFC00000"/>
        <rFont val="Arial"/>
        <family val="0"/>
        <charset val="1"/>
      </rPr>
      <t xml:space="preserve">1</t>
    </r>
    <r>
      <rPr>
        <i val="true"/>
        <sz val="9"/>
        <color rgb="FFC00000"/>
        <rFont val="Noto Sans CJK SC"/>
        <family val="2"/>
      </rPr>
      <t xml:space="preserve">건</t>
    </r>
    <r>
      <rPr>
        <i val="true"/>
        <sz val="9"/>
        <color rgb="FFC00000"/>
        <rFont val="Arial"/>
        <family val="0"/>
        <charset val="1"/>
      </rPr>
      <t xml:space="preserve">(1:1)</t>
    </r>
    <r>
      <rPr>
        <i val="true"/>
        <sz val="9"/>
        <color rgb="FFC00000"/>
        <rFont val="Noto Sans CJK SC"/>
        <family val="2"/>
      </rPr>
      <t xml:space="preserve">으로 생성했습니다</t>
    </r>
    <r>
      <rPr>
        <i val="true"/>
        <sz val="9"/>
        <color rgb="FFC00000"/>
        <rFont val="Arial"/>
        <family val="0"/>
        <charset val="1"/>
      </rPr>
      <t xml:space="preserve">. </t>
    </r>
    <r>
      <rPr>
        <i val="true"/>
        <sz val="9"/>
        <color rgb="FFC00000"/>
        <rFont val="Noto Sans CJK SC"/>
        <family val="2"/>
      </rPr>
      <t xml:space="preserve">실제로는 요청</t>
    </r>
    <r>
      <rPr>
        <i val="true"/>
        <sz val="9"/>
        <color rgb="FFC00000"/>
        <rFont val="Arial"/>
        <family val="0"/>
        <charset val="1"/>
      </rPr>
      <t xml:space="preserve">/</t>
    </r>
    <r>
      <rPr>
        <i val="true"/>
        <sz val="9"/>
        <color rgb="FFC00000"/>
        <rFont val="Noto Sans CJK SC"/>
        <family val="2"/>
      </rPr>
      <t xml:space="preserve">응답</t>
    </r>
    <r>
      <rPr>
        <i val="true"/>
        <sz val="9"/>
        <color rgb="FFC00000"/>
        <rFont val="Arial"/>
        <family val="0"/>
        <charset val="1"/>
      </rPr>
      <t xml:space="preserve">/</t>
    </r>
    <r>
      <rPr>
        <i val="true"/>
        <sz val="9"/>
        <color rgb="FFC00000"/>
        <rFont val="Noto Sans CJK SC"/>
        <family val="2"/>
      </rPr>
      <t xml:space="preserve">타임아웃 재전송으로 </t>
    </r>
    <r>
      <rPr>
        <i val="true"/>
        <sz val="9"/>
        <color rgb="FFC00000"/>
        <rFont val="Arial"/>
        <family val="0"/>
        <charset val="1"/>
      </rPr>
      <t xml:space="preserve">1:N</t>
    </r>
    <r>
      <rPr>
        <i val="true"/>
        <sz val="9"/>
        <color rgb="FFC00000"/>
        <rFont val="Noto Sans CJK SC"/>
        <family val="2"/>
      </rPr>
      <t xml:space="preserve">이 되므로 관계 재검토가 필요합니다</t>
    </r>
    <r>
      <rPr>
        <i val="true"/>
        <sz val="9"/>
        <color rgb="FFC00000"/>
        <rFont val="Arial"/>
        <family val="0"/>
        <charset val="1"/>
      </rPr>
      <t xml:space="preserve">.</t>
    </r>
  </si>
  <si>
    <t xml:space="preserve">정합성 검증 — 원장 잔액이 거래내역 합계와 일치하는지 수식으로 재계산</t>
  </si>
  <si>
    <r>
      <rPr>
        <i val="true"/>
        <sz val="9"/>
        <color rgb="FF44546A"/>
        <rFont val="Noto Sans CJK SC"/>
        <family val="2"/>
      </rPr>
      <t xml:space="preserve">아래 값은 모두 수식입니다</t>
    </r>
    <r>
      <rPr>
        <i val="true"/>
        <sz val="9"/>
        <color rgb="FF44546A"/>
        <rFont val="Arial"/>
        <family val="0"/>
        <charset val="1"/>
      </rPr>
      <t xml:space="preserve">. </t>
    </r>
    <r>
      <rPr>
        <i val="true"/>
        <sz val="9"/>
        <color rgb="FF44546A"/>
        <rFont val="Noto Sans CJK SC"/>
        <family val="2"/>
      </rPr>
      <t xml:space="preserve">거래 시트를 수정하면 자동 재계산되어 판정이 바뀝니다</t>
    </r>
    <r>
      <rPr>
        <i val="true"/>
        <sz val="9"/>
        <color rgb="FF44546A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</si>
  <si>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LOCAL_ACCOUNT.cash_balance
(</t>
    </r>
    <r>
      <rPr>
        <b val="true"/>
        <sz val="10"/>
        <color rgb="FFFFFFFF"/>
        <rFont val="Noto Sans CJK SC"/>
        <family val="2"/>
      </rPr>
      <t xml:space="preserve">저장값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</si>
  <si>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Σ</t>
    </r>
    <r>
      <rPr>
        <b val="true"/>
        <sz val="10"/>
        <color rgb="FFFFFFFF"/>
        <rFont val="Noto Sans CJK SC"/>
        <family val="2"/>
      </rPr>
      <t xml:space="preserve">충전 − </t>
    </r>
    <r>
      <rPr>
        <b val="true"/>
        <sz val="10"/>
        <color rgb="FFFFFFFF"/>
        <rFont val="Arial"/>
        <family val="0"/>
        <charset val="1"/>
      </rPr>
      <t xml:space="preserve">Σ</t>
    </r>
    <r>
      <rPr>
        <b val="true"/>
        <sz val="10"/>
        <color rgb="FFFFFFFF"/>
        <rFont val="Noto Sans CJK SC"/>
        <family val="2"/>
      </rPr>
      <t xml:space="preserve">실결제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재계산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</si>
  <si>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현금 판정</t>
  </si>
  <si>
    <r>
      <rPr>
        <b val="true"/>
        <sz val="10"/>
        <color rgb="FFFFFFFF"/>
        <rFont val="Arial"/>
        <family val="0"/>
        <charset val="1"/>
      </rPr>
      <t xml:space="preserve">CASHBACK_ACCOUNT.cashback_balance
(</t>
    </r>
    <r>
      <rPr>
        <b val="true"/>
        <sz val="10"/>
        <color rgb="FFFFFFFF"/>
        <rFont val="Noto Sans CJK SC"/>
        <family val="2"/>
      </rPr>
      <t xml:space="preserve">저장값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</si>
  <si>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Σ</t>
    </r>
    <r>
      <rPr>
        <b val="true"/>
        <sz val="10"/>
        <color rgb="FFFFFFFF"/>
        <rFont val="Noto Sans CJK SC"/>
        <family val="2"/>
      </rPr>
      <t xml:space="preserve">적립 − </t>
    </r>
    <r>
      <rPr>
        <b val="true"/>
        <sz val="10"/>
        <color rgb="FFFFFFFF"/>
        <rFont val="Arial"/>
        <family val="0"/>
        <charset val="1"/>
      </rPr>
      <t xml:space="preserve">Σ</t>
    </r>
    <r>
      <rPr>
        <b val="true"/>
        <sz val="10"/>
        <color rgb="FFFFFFFF"/>
        <rFont val="Noto Sans CJK SC"/>
        <family val="2"/>
      </rPr>
      <t xml:space="preserve">사용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재계산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</si>
  <si>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캐시백 판정</t>
  </si>
  <si>
    <t xml:space="preserve">전체 판정</t>
  </si>
  <si>
    <t xml:space="preserve">예산 집행액 검증</t>
  </si>
  <si>
    <t xml:space="preserve">BUDGET_MASTER.used_budget</t>
  </si>
  <si>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적립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계좌 경유</t>
    </r>
    <r>
      <rPr>
        <b val="true"/>
        <sz val="10"/>
        <rFont val="Arial"/>
        <family val="0"/>
        <charset val="1"/>
      </rPr>
      <t xml:space="preserve">)</t>
    </r>
  </si>
  <si>
    <t xml:space="preserve">판정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</si>
</sst>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yyyy\-mm\-dd\ hh:mm:ss.000"/>
    <numFmt numFmtId="167" formatCode="#,##0;\(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9"/>
      <color rgb="FF44546A"/>
      <name val="Arial"/>
      <family val="0"/>
      <charset val="1"/>
    </font>
    <font>
      <i val="true"/>
      <sz val="9"/>
      <color rgb="FF44546A"/>
      <name val="Noto Sans CJK SC"/>
      <family val="2"/>
    </font>
    <font>
      <i val="true"/>
      <sz val="9"/>
      <color rgb="FFC00000"/>
      <name val="Arial"/>
      <family val="0"/>
      <charset val="1"/>
    </font>
    <font>
      <i val="true"/>
      <sz val="9"/>
      <color rgb="FFC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0061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8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4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/>
      <c r="B7" s="3"/>
    </row>
    <row r="8" customFormat="false" ht="17.15" hidden="false" customHeight="false" outlineLevel="0" collapsed="false">
      <c r="A8" s="5" t="s">
        <v>9</v>
      </c>
      <c r="B8" s="3"/>
    </row>
    <row r="9" customFormat="false" ht="15" hidden="false" customHeight="false" outlineLevel="0" collapsed="false">
      <c r="A9" s="6" t="s">
        <v>10</v>
      </c>
      <c r="B9" s="4" t="s">
        <v>11</v>
      </c>
    </row>
    <row r="10" customFormat="false" ht="15" hidden="false" customHeight="false" outlineLevel="0" collapsed="false">
      <c r="A10" s="6" t="s">
        <v>12</v>
      </c>
      <c r="B10" s="4" t="s">
        <v>13</v>
      </c>
    </row>
    <row r="11" customFormat="false" ht="15" hidden="false" customHeight="false" outlineLevel="0" collapsed="false">
      <c r="A11" s="6" t="s">
        <v>14</v>
      </c>
      <c r="B11" s="4" t="s">
        <v>15</v>
      </c>
    </row>
    <row r="12" customFormat="false" ht="15" hidden="false" customHeight="false" outlineLevel="0" collapsed="false">
      <c r="A12" s="6" t="s">
        <v>16</v>
      </c>
      <c r="B12" s="4" t="s">
        <v>17</v>
      </c>
    </row>
    <row r="13" customFormat="false" ht="15" hidden="false" customHeight="false" outlineLevel="0" collapsed="false">
      <c r="A13" s="6" t="s">
        <v>18</v>
      </c>
      <c r="B13" s="3" t="s">
        <v>19</v>
      </c>
    </row>
    <row r="14" customFormat="false" ht="15" hidden="false" customHeight="false" outlineLevel="0" collapsed="false">
      <c r="A14" s="6" t="s">
        <v>20</v>
      </c>
      <c r="B14" s="3" t="s">
        <v>21</v>
      </c>
    </row>
    <row r="15" customFormat="false" ht="15" hidden="false" customHeight="false" outlineLevel="0" collapsed="false">
      <c r="A15" s="2"/>
      <c r="B15" s="3"/>
    </row>
    <row r="16" customFormat="false" ht="17.15" hidden="false" customHeight="false" outlineLevel="0" collapsed="false">
      <c r="A16" s="5" t="s">
        <v>22</v>
      </c>
      <c r="B16" s="3"/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6" t="s">
        <v>25</v>
      </c>
      <c r="B18" s="3" t="s">
        <v>26</v>
      </c>
    </row>
    <row r="19" customFormat="false" ht="15" hidden="false" customHeight="false" outlineLevel="0" collapsed="false">
      <c r="A19" s="6" t="s">
        <v>27</v>
      </c>
      <c r="B19" s="3" t="s">
        <v>28</v>
      </c>
    </row>
    <row r="20" customFormat="false" ht="15" hidden="false" customHeight="false" outlineLevel="0" collapsed="false">
      <c r="A20" s="6" t="s">
        <v>29</v>
      </c>
      <c r="B20" s="3" t="s">
        <v>30</v>
      </c>
    </row>
    <row r="21" customFormat="false" ht="15" hidden="false" customHeight="false" outlineLevel="0" collapsed="false">
      <c r="A21" s="6" t="s">
        <v>31</v>
      </c>
      <c r="B21" s="3" t="s">
        <v>32</v>
      </c>
    </row>
    <row r="22" customFormat="false" ht="15" hidden="false" customHeight="false" outlineLevel="0" collapsed="false">
      <c r="A22" s="2" t="s">
        <v>33</v>
      </c>
      <c r="B22" s="4" t="s">
        <v>34</v>
      </c>
    </row>
    <row r="23" customFormat="false" ht="15" hidden="false" customHeight="false" outlineLevel="0" collapsed="false">
      <c r="A23" s="2"/>
      <c r="B23" s="3"/>
    </row>
    <row r="24" customFormat="false" ht="15" hidden="false" customHeight="false" outlineLevel="0" collapsed="false">
      <c r="A24" s="5" t="s">
        <v>35</v>
      </c>
      <c r="B24" s="3"/>
    </row>
    <row r="25" customFormat="false" ht="15" hidden="false" customHeight="false" outlineLevel="0" collapsed="false">
      <c r="A25" s="2" t="s">
        <v>36</v>
      </c>
      <c r="B25" s="4" t="s">
        <v>37</v>
      </c>
    </row>
    <row r="26" customFormat="false" ht="15" hidden="false" customHeight="false" outlineLevel="0" collapsed="false">
      <c r="A26" s="2" t="s">
        <v>38</v>
      </c>
      <c r="B26" s="3" t="s">
        <v>39</v>
      </c>
    </row>
    <row r="27" customFormat="false" ht="15" hidden="false" customHeight="false" outlineLevel="0" collapsed="false">
      <c r="A27" s="2" t="s">
        <v>40</v>
      </c>
      <c r="B27" s="3" t="s">
        <v>41</v>
      </c>
    </row>
    <row r="28" customFormat="false" ht="15" hidden="false" customHeight="false" outlineLevel="0" collapsed="false">
      <c r="A28" s="2" t="s">
        <v>42</v>
      </c>
      <c r="B28" s="3" t="s">
        <v>43</v>
      </c>
    </row>
    <row r="29" customFormat="false" ht="15" hidden="false" customHeight="false" outlineLevel="0" collapsed="false">
      <c r="A29" s="2" t="s">
        <v>44</v>
      </c>
      <c r="B29" s="3" t="s">
        <v>45</v>
      </c>
    </row>
    <row r="30" customFormat="false" ht="15" hidden="false" customHeight="false" outlineLevel="0" collapsed="false">
      <c r="A30" s="2" t="s">
        <v>46</v>
      </c>
      <c r="B30" s="3" t="s">
        <v>47</v>
      </c>
    </row>
    <row r="31" customFormat="false" ht="15" hidden="false" customHeight="false" outlineLevel="0" collapsed="false">
      <c r="A31" s="2" t="s">
        <v>48</v>
      </c>
      <c r="B31" s="3" t="s">
        <v>49</v>
      </c>
    </row>
    <row r="32" customFormat="false" ht="15" hidden="false" customHeight="false" outlineLevel="0" collapsed="false">
      <c r="A32" s="2" t="s">
        <v>50</v>
      </c>
      <c r="B32" s="4" t="s">
        <v>51</v>
      </c>
    </row>
    <row r="33" customFormat="false" ht="15" hidden="false" customHeight="false" outlineLevel="0" collapsed="false">
      <c r="A33" s="2"/>
      <c r="B33" s="3"/>
    </row>
    <row r="34" customFormat="false" ht="17.15" hidden="false" customHeight="false" outlineLevel="0" collapsed="false">
      <c r="A34" s="5" t="s">
        <v>52</v>
      </c>
      <c r="B34" s="3"/>
    </row>
    <row r="35" customFormat="false" ht="15" hidden="false" customHeight="false" outlineLevel="0" collapsed="false">
      <c r="A35" s="2" t="s">
        <v>53</v>
      </c>
      <c r="B35" s="4" t="s">
        <v>54</v>
      </c>
    </row>
    <row r="36" customFormat="false" ht="15" hidden="false" customHeight="false" outlineLevel="0" collapsed="false">
      <c r="A36" s="2" t="s">
        <v>55</v>
      </c>
      <c r="B36" s="4" t="s">
        <v>56</v>
      </c>
    </row>
    <row r="37" customFormat="false" ht="15" hidden="false" customHeight="false" outlineLevel="0" collapsed="false">
      <c r="A37" s="2" t="s">
        <v>57</v>
      </c>
      <c r="B37" s="4" t="s">
        <v>58</v>
      </c>
    </row>
    <row r="38" customFormat="false" ht="29.85" hidden="false" customHeight="false" outlineLevel="0" collapsed="false">
      <c r="A38" s="2" t="s">
        <v>59</v>
      </c>
      <c r="B38" s="4" t="s">
        <v>60</v>
      </c>
    </row>
    <row r="39" customFormat="false" ht="15" hidden="false" customHeight="false" outlineLevel="0" collapsed="false">
      <c r="A39" s="2" t="s">
        <v>61</v>
      </c>
      <c r="B39" s="3" t="s">
        <v>62</v>
      </c>
    </row>
    <row r="40" customFormat="false" ht="15" hidden="false" customHeight="false" outlineLevel="0" collapsed="false">
      <c r="A40" s="2" t="s">
        <v>63</v>
      </c>
      <c r="B40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0.1" hidden="false" customHeight="false" outlineLevel="0" collapsed="false">
      <c r="A1" s="7" t="s">
        <v>65</v>
      </c>
    </row>
    <row r="3" customFormat="false" ht="15" hidden="false" customHeight="false" outlineLevel="0" collapsed="false">
      <c r="A3" s="8" t="s">
        <v>66</v>
      </c>
      <c r="B3" s="8" t="s">
        <v>67</v>
      </c>
      <c r="C3" s="8" t="s">
        <v>68</v>
      </c>
      <c r="D3" s="8" t="s">
        <v>69</v>
      </c>
      <c r="E3" s="8" t="s">
        <v>70</v>
      </c>
      <c r="F3" s="8" t="s">
        <v>71</v>
      </c>
      <c r="G3" s="8" t="s">
        <v>72</v>
      </c>
    </row>
    <row r="4" customFormat="false" ht="30" hidden="false" customHeight="true" outlineLevel="0" collapsed="false">
      <c r="A4" s="9" t="s">
        <v>73</v>
      </c>
      <c r="B4" s="10" t="s">
        <v>74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79</v>
      </c>
    </row>
    <row r="5" customFormat="false" ht="15" hidden="false" customHeight="false" outlineLevel="0" collapsed="false">
      <c r="A5" s="11" t="n">
        <v>100001</v>
      </c>
      <c r="B5" s="12" t="s">
        <v>80</v>
      </c>
      <c r="C5" s="12" t="s">
        <v>81</v>
      </c>
      <c r="D5" s="13" t="s">
        <v>82</v>
      </c>
      <c r="E5" s="13" t="s">
        <v>83</v>
      </c>
      <c r="F5" s="14"/>
      <c r="G5" s="15" t="n">
        <v>46027.3837166667</v>
      </c>
    </row>
    <row r="6" customFormat="false" ht="15" hidden="false" customHeight="false" outlineLevel="0" collapsed="false">
      <c r="A6" s="11" t="n">
        <v>100002</v>
      </c>
      <c r="B6" s="12" t="s">
        <v>84</v>
      </c>
      <c r="C6" s="12" t="s">
        <v>85</v>
      </c>
      <c r="D6" s="13" t="s">
        <v>86</v>
      </c>
      <c r="E6" s="13" t="s">
        <v>83</v>
      </c>
      <c r="F6" s="14"/>
      <c r="G6" s="15" t="n">
        <v>46029.5853225694</v>
      </c>
    </row>
    <row r="7" customFormat="false" ht="15" hidden="false" customHeight="false" outlineLevel="0" collapsed="false">
      <c r="A7" s="11" t="n">
        <v>100003</v>
      </c>
      <c r="B7" s="12" t="s">
        <v>87</v>
      </c>
      <c r="C7" s="12" t="s">
        <v>88</v>
      </c>
      <c r="D7" s="13" t="s">
        <v>89</v>
      </c>
      <c r="E7" s="13" t="s">
        <v>83</v>
      </c>
      <c r="F7" s="14"/>
      <c r="G7" s="15" t="n">
        <v>46064.4472825232</v>
      </c>
    </row>
    <row r="8" customFormat="false" ht="15" hidden="false" customHeight="false" outlineLevel="0" collapsed="false">
      <c r="A8" s="11" t="n">
        <v>100004</v>
      </c>
      <c r="B8" s="12" t="s">
        <v>90</v>
      </c>
      <c r="C8" s="12" t="s">
        <v>91</v>
      </c>
      <c r="D8" s="13" t="s">
        <v>92</v>
      </c>
      <c r="E8" s="13" t="s">
        <v>83</v>
      </c>
      <c r="F8" s="14"/>
      <c r="G8" s="15" t="n">
        <v>46083.813744213</v>
      </c>
    </row>
    <row r="9" customFormat="false" ht="15" hidden="false" customHeight="false" outlineLevel="0" collapsed="false">
      <c r="A9" s="11" t="n">
        <v>100005</v>
      </c>
      <c r="B9" s="12" t="s">
        <v>93</v>
      </c>
      <c r="C9" s="12" t="s">
        <v>94</v>
      </c>
      <c r="D9" s="13" t="s">
        <v>95</v>
      </c>
      <c r="E9" s="13" t="s">
        <v>83</v>
      </c>
      <c r="F9" s="14"/>
      <c r="G9" s="15" t="n">
        <v>46099.3369482639</v>
      </c>
    </row>
    <row r="10" customFormat="false" ht="15" hidden="false" customHeight="false" outlineLevel="0" collapsed="false">
      <c r="A10" s="11" t="n">
        <v>100006</v>
      </c>
      <c r="B10" s="12" t="s">
        <v>96</v>
      </c>
      <c r="C10" s="12" t="s">
        <v>97</v>
      </c>
      <c r="D10" s="13" t="s">
        <v>98</v>
      </c>
      <c r="E10" s="13" t="s">
        <v>99</v>
      </c>
      <c r="F10" s="14"/>
      <c r="G10" s="15" t="n">
        <v>46113.4775456019</v>
      </c>
    </row>
    <row r="11" customFormat="false" ht="15" hidden="false" customHeight="false" outlineLevel="0" collapsed="false">
      <c r="A11" s="11" t="n">
        <v>100007</v>
      </c>
      <c r="B11" s="12" t="s">
        <v>100</v>
      </c>
      <c r="C11" s="12" t="s">
        <v>101</v>
      </c>
      <c r="D11" s="13" t="s">
        <v>102</v>
      </c>
      <c r="E11" s="13" t="s">
        <v>103</v>
      </c>
      <c r="F11" s="14" t="n">
        <v>46265</v>
      </c>
      <c r="G11" s="15" t="n">
        <v>46042.6735880787</v>
      </c>
    </row>
    <row r="12" customFormat="false" ht="15" hidden="false" customHeight="false" outlineLevel="0" collapsed="false">
      <c r="A12" s="11" t="n">
        <v>100008</v>
      </c>
      <c r="B12" s="12" t="s">
        <v>104</v>
      </c>
      <c r="C12" s="12" t="s">
        <v>105</v>
      </c>
      <c r="D12" s="13" t="s">
        <v>106</v>
      </c>
      <c r="E12" s="13" t="s">
        <v>83</v>
      </c>
      <c r="F12" s="14"/>
      <c r="G12" s="15" t="n">
        <v>46266.3321833333</v>
      </c>
    </row>
    <row r="14" customFormat="false" ht="15" hidden="false" customHeight="false" outlineLevel="0" collapsed="false">
      <c r="A14" s="1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20.1" hidden="false" customHeight="false" outlineLevel="0" collapsed="false">
      <c r="A1" s="7" t="s">
        <v>108</v>
      </c>
    </row>
    <row r="3" customFormat="false" ht="15" hidden="false" customHeight="false" outlineLevel="0" collapsed="false">
      <c r="A3" s="8" t="s">
        <v>109</v>
      </c>
      <c r="B3" s="8" t="s">
        <v>66</v>
      </c>
      <c r="C3" s="8" t="s">
        <v>110</v>
      </c>
      <c r="D3" s="8" t="s">
        <v>111</v>
      </c>
      <c r="E3" s="8" t="s">
        <v>112</v>
      </c>
      <c r="F3" s="8" t="s">
        <v>70</v>
      </c>
      <c r="G3" s="8" t="s">
        <v>72</v>
      </c>
    </row>
    <row r="4" customFormat="false" ht="30" hidden="false" customHeight="true" outlineLevel="0" collapsed="false">
      <c r="A4" s="9" t="s">
        <v>113</v>
      </c>
      <c r="B4" s="17" t="s">
        <v>114</v>
      </c>
      <c r="C4" s="10" t="s">
        <v>115</v>
      </c>
      <c r="D4" s="18" t="s">
        <v>116</v>
      </c>
      <c r="E4" s="10" t="s">
        <v>117</v>
      </c>
      <c r="F4" s="10" t="s">
        <v>118</v>
      </c>
      <c r="G4" s="10" t="s">
        <v>119</v>
      </c>
    </row>
    <row r="5" customFormat="false" ht="15" hidden="false" customHeight="false" outlineLevel="0" collapsed="false">
      <c r="A5" s="11" t="n">
        <v>5000001</v>
      </c>
      <c r="B5" s="11" t="n">
        <v>100001</v>
      </c>
      <c r="C5" s="12" t="s">
        <v>120</v>
      </c>
      <c r="D5" s="13" t="s">
        <v>121</v>
      </c>
      <c r="E5" s="19" t="n">
        <v>713142</v>
      </c>
      <c r="F5" s="13" t="s">
        <v>83</v>
      </c>
      <c r="G5" s="15" t="n">
        <v>46027.3890162037</v>
      </c>
    </row>
    <row r="6" customFormat="false" ht="15" hidden="false" customHeight="false" outlineLevel="0" collapsed="false">
      <c r="A6" s="11" t="n">
        <v>5000002</v>
      </c>
      <c r="B6" s="11" t="n">
        <v>100001</v>
      </c>
      <c r="C6" s="12" t="s">
        <v>122</v>
      </c>
      <c r="D6" s="13" t="s">
        <v>123</v>
      </c>
      <c r="E6" s="19" t="n">
        <v>250000</v>
      </c>
      <c r="F6" s="13" t="s">
        <v>83</v>
      </c>
      <c r="G6" s="15" t="n">
        <v>46156.570162037</v>
      </c>
    </row>
    <row r="7" customFormat="false" ht="15" hidden="false" customHeight="false" outlineLevel="0" collapsed="false">
      <c r="A7" s="11" t="n">
        <v>5000003</v>
      </c>
      <c r="B7" s="11" t="n">
        <v>100002</v>
      </c>
      <c r="C7" s="12" t="s">
        <v>120</v>
      </c>
      <c r="D7" s="13" t="s">
        <v>121</v>
      </c>
      <c r="E7" s="19" t="n">
        <v>111860</v>
      </c>
      <c r="F7" s="13" t="s">
        <v>83</v>
      </c>
      <c r="G7" s="15" t="n">
        <v>46029.5905787037</v>
      </c>
    </row>
    <row r="8" customFormat="false" ht="15" hidden="false" customHeight="false" outlineLevel="0" collapsed="false">
      <c r="A8" s="11" t="n">
        <v>5000004</v>
      </c>
      <c r="B8" s="11" t="n">
        <v>100002</v>
      </c>
      <c r="C8" s="12" t="s">
        <v>124</v>
      </c>
      <c r="D8" s="13" t="s">
        <v>125</v>
      </c>
      <c r="E8" s="19" t="n">
        <v>255000</v>
      </c>
      <c r="F8" s="13" t="s">
        <v>83</v>
      </c>
      <c r="G8" s="15" t="n">
        <v>46121.7657407407</v>
      </c>
    </row>
    <row r="9" customFormat="false" ht="15" hidden="false" customHeight="false" outlineLevel="0" collapsed="false">
      <c r="A9" s="11" t="n">
        <v>5000005</v>
      </c>
      <c r="B9" s="11" t="n">
        <v>100003</v>
      </c>
      <c r="C9" s="12" t="s">
        <v>122</v>
      </c>
      <c r="D9" s="13" t="s">
        <v>123</v>
      </c>
      <c r="E9" s="19" t="n">
        <v>406160</v>
      </c>
      <c r="F9" s="13" t="s">
        <v>83</v>
      </c>
      <c r="G9" s="15" t="n">
        <v>46064.4516087963</v>
      </c>
    </row>
    <row r="10" customFormat="false" ht="15" hidden="false" customHeight="false" outlineLevel="0" collapsed="false">
      <c r="A10" s="11" t="n">
        <v>5000006</v>
      </c>
      <c r="B10" s="11" t="n">
        <v>100004</v>
      </c>
      <c r="C10" s="12" t="s">
        <v>124</v>
      </c>
      <c r="D10" s="13" t="s">
        <v>125</v>
      </c>
      <c r="E10" s="19" t="n">
        <v>62080</v>
      </c>
      <c r="F10" s="13" t="s">
        <v>83</v>
      </c>
      <c r="G10" s="15" t="n">
        <v>46083.8194791667</v>
      </c>
    </row>
    <row r="11" customFormat="false" ht="15" hidden="false" customHeight="false" outlineLevel="0" collapsed="false">
      <c r="A11" s="11" t="n">
        <v>5000007</v>
      </c>
      <c r="B11" s="11" t="n">
        <v>100005</v>
      </c>
      <c r="C11" s="12" t="s">
        <v>120</v>
      </c>
      <c r="D11" s="13" t="s">
        <v>121</v>
      </c>
      <c r="E11" s="19" t="n">
        <v>56500</v>
      </c>
      <c r="F11" s="13" t="s">
        <v>83</v>
      </c>
      <c r="G11" s="15" t="n">
        <v>46099.3442592593</v>
      </c>
    </row>
    <row r="12" customFormat="false" ht="15" hidden="false" customHeight="false" outlineLevel="0" collapsed="false">
      <c r="A12" s="11" t="n">
        <v>5000008</v>
      </c>
      <c r="B12" s="11" t="n">
        <v>100006</v>
      </c>
      <c r="C12" s="12" t="s">
        <v>126</v>
      </c>
      <c r="D12" s="13" t="s">
        <v>127</v>
      </c>
      <c r="E12" s="19" t="n">
        <v>0</v>
      </c>
      <c r="F12" s="13" t="s">
        <v>99</v>
      </c>
      <c r="G12" s="15" t="n">
        <v>46113.4829513889</v>
      </c>
    </row>
    <row r="13" customFormat="false" ht="15" hidden="false" customHeight="false" outlineLevel="0" collapsed="false">
      <c r="A13" s="11" t="n">
        <v>5000009</v>
      </c>
      <c r="B13" s="11" t="n">
        <v>100007</v>
      </c>
      <c r="C13" s="12" t="s">
        <v>122</v>
      </c>
      <c r="D13" s="13" t="s">
        <v>123</v>
      </c>
      <c r="E13" s="19" t="n">
        <v>30000</v>
      </c>
      <c r="F13" s="13" t="s">
        <v>128</v>
      </c>
      <c r="G13" s="15" t="n">
        <v>46042.6807060185</v>
      </c>
    </row>
    <row r="14" customFormat="false" ht="15" hidden="false" customHeight="false" outlineLevel="0" collapsed="false">
      <c r="A14" s="11" t="n">
        <v>5000010</v>
      </c>
      <c r="B14" s="11" t="n">
        <v>100008</v>
      </c>
      <c r="C14" s="12" t="s">
        <v>120</v>
      </c>
      <c r="D14" s="13" t="s">
        <v>121</v>
      </c>
      <c r="E14" s="19" t="n">
        <v>100000</v>
      </c>
      <c r="F14" s="13" t="s">
        <v>83</v>
      </c>
      <c r="G14" s="15" t="n">
        <v>46266.3360532407</v>
      </c>
    </row>
    <row r="15" customFormat="false" ht="15" hidden="false" customHeight="false" outlineLevel="0" collapsed="false">
      <c r="A15" s="11" t="n">
        <v>5000011</v>
      </c>
      <c r="B15" s="11" t="n">
        <v>100005</v>
      </c>
      <c r="C15" s="12" t="s">
        <v>126</v>
      </c>
      <c r="D15" s="13" t="s">
        <v>127</v>
      </c>
      <c r="E15" s="19" t="n">
        <v>136403</v>
      </c>
      <c r="F15" s="13" t="s">
        <v>83</v>
      </c>
      <c r="G15" s="15" t="n">
        <v>46175.4247337963</v>
      </c>
    </row>
    <row r="16" customFormat="false" ht="15" hidden="false" customHeight="false" outlineLevel="0" collapsed="false">
      <c r="A16" s="11" t="n">
        <v>5000012</v>
      </c>
      <c r="B16" s="11" t="n">
        <v>100004</v>
      </c>
      <c r="C16" s="12" t="s">
        <v>126</v>
      </c>
      <c r="D16" s="13" t="s">
        <v>127</v>
      </c>
      <c r="E16" s="19" t="n">
        <v>110000</v>
      </c>
      <c r="F16" s="13" t="s">
        <v>83</v>
      </c>
      <c r="G16" s="15" t="n">
        <v>46218.6436111111</v>
      </c>
    </row>
    <row r="18" customFormat="false" ht="15" hidden="false" customHeight="false" outlineLevel="0" collapsed="false">
      <c r="A18" s="1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5" min="4" style="0" width="22"/>
  </cols>
  <sheetData>
    <row r="1" customFormat="false" ht="20.1" hidden="false" customHeight="false" outlineLevel="0" collapsed="false">
      <c r="A1" s="7" t="s">
        <v>130</v>
      </c>
    </row>
    <row r="3" customFormat="false" ht="23.85" hidden="false" customHeight="false" outlineLevel="0" collapsed="false">
      <c r="A3" s="8" t="s">
        <v>131</v>
      </c>
      <c r="B3" s="8" t="s">
        <v>109</v>
      </c>
      <c r="C3" s="8" t="s">
        <v>132</v>
      </c>
      <c r="D3" s="8" t="s">
        <v>133</v>
      </c>
      <c r="E3" s="8" t="s">
        <v>134</v>
      </c>
    </row>
    <row r="4" customFormat="false" ht="30" hidden="false" customHeight="true" outlineLevel="0" collapsed="false">
      <c r="A4" s="9" t="s">
        <v>135</v>
      </c>
      <c r="B4" s="17" t="s">
        <v>136</v>
      </c>
      <c r="C4" s="10" t="s">
        <v>137</v>
      </c>
      <c r="D4" s="10" t="s">
        <v>138</v>
      </c>
      <c r="E4" s="10" t="s">
        <v>139</v>
      </c>
    </row>
    <row r="5" customFormat="false" ht="15" hidden="false" customHeight="false" outlineLevel="0" collapsed="false">
      <c r="A5" s="11" t="n">
        <v>6100001</v>
      </c>
      <c r="B5" s="11" t="n">
        <v>5000001</v>
      </c>
      <c r="C5" s="19" t="n">
        <v>4543</v>
      </c>
      <c r="D5" s="19" t="n">
        <v>8685</v>
      </c>
      <c r="E5" s="15" t="n">
        <v>46267.5025945602</v>
      </c>
    </row>
    <row r="6" customFormat="false" ht="15" hidden="false" customHeight="false" outlineLevel="0" collapsed="false">
      <c r="A6" s="11" t="n">
        <v>6100002</v>
      </c>
      <c r="B6" s="11" t="n">
        <v>5000002</v>
      </c>
      <c r="C6" s="19" t="n">
        <v>10500</v>
      </c>
      <c r="D6" s="19" t="n">
        <v>10500</v>
      </c>
      <c r="E6" s="15" t="n">
        <v>46260.555425</v>
      </c>
    </row>
    <row r="7" customFormat="false" ht="15" hidden="false" customHeight="false" outlineLevel="0" collapsed="false">
      <c r="A7" s="11" t="n">
        <v>6100003</v>
      </c>
      <c r="B7" s="11" t="n">
        <v>5000003</v>
      </c>
      <c r="C7" s="19" t="n">
        <v>1954</v>
      </c>
      <c r="D7" s="19" t="n">
        <v>3814</v>
      </c>
      <c r="E7" s="15" t="n">
        <v>46268.8224690972</v>
      </c>
    </row>
    <row r="8" customFormat="false" ht="15" hidden="false" customHeight="false" outlineLevel="0" collapsed="false">
      <c r="A8" s="11" t="n">
        <v>6100004</v>
      </c>
      <c r="B8" s="11" t="n">
        <v>5000004</v>
      </c>
      <c r="C8" s="19" t="n">
        <v>5400</v>
      </c>
      <c r="D8" s="19" t="n">
        <v>5400</v>
      </c>
      <c r="E8" s="15" t="n">
        <v>46255.535072338</v>
      </c>
    </row>
    <row r="9" customFormat="false" ht="15" hidden="false" customHeight="false" outlineLevel="0" collapsed="false">
      <c r="A9" s="11" t="n">
        <v>6100005</v>
      </c>
      <c r="B9" s="11" t="n">
        <v>5000005</v>
      </c>
      <c r="C9" s="19" t="n">
        <v>408</v>
      </c>
      <c r="D9" s="19" t="n">
        <v>6568</v>
      </c>
      <c r="E9" s="15" t="n">
        <v>46271.3854597222</v>
      </c>
    </row>
    <row r="10" customFormat="false" ht="15" hidden="false" customHeight="false" outlineLevel="0" collapsed="false">
      <c r="A10" s="11" t="n">
        <v>6100006</v>
      </c>
      <c r="B10" s="11" t="n">
        <v>5000006</v>
      </c>
      <c r="C10" s="19" t="n">
        <v>30720</v>
      </c>
      <c r="D10" s="19" t="n">
        <v>36800</v>
      </c>
      <c r="E10" s="15" t="n">
        <v>46268.5143672454</v>
      </c>
    </row>
    <row r="11" customFormat="false" ht="15" hidden="false" customHeight="false" outlineLevel="0" collapsed="false">
      <c r="A11" s="11" t="n">
        <v>6100007</v>
      </c>
      <c r="B11" s="11" t="n">
        <v>5000007</v>
      </c>
      <c r="C11" s="19" t="n">
        <v>2850</v>
      </c>
      <c r="D11" s="19" t="n">
        <v>4350</v>
      </c>
      <c r="E11" s="15" t="n">
        <v>46270.5697586806</v>
      </c>
    </row>
    <row r="12" customFormat="false" ht="15" hidden="false" customHeight="false" outlineLevel="0" collapsed="false">
      <c r="A12" s="11" t="n">
        <v>6100008</v>
      </c>
      <c r="B12" s="11" t="n">
        <v>5000008</v>
      </c>
      <c r="C12" s="19" t="n">
        <v>0</v>
      </c>
      <c r="D12" s="19" t="n">
        <v>0</v>
      </c>
      <c r="E12" s="15" t="n">
        <v>46113.4829513889</v>
      </c>
    </row>
    <row r="13" customFormat="false" ht="15" hidden="false" customHeight="false" outlineLevel="0" collapsed="false">
      <c r="A13" s="11" t="n">
        <v>6100009</v>
      </c>
      <c r="B13" s="11" t="n">
        <v>5000009</v>
      </c>
      <c r="C13" s="19" t="n">
        <v>1400</v>
      </c>
      <c r="D13" s="19" t="n">
        <v>1400</v>
      </c>
      <c r="E13" s="15" t="n">
        <v>46253.4661008102</v>
      </c>
    </row>
    <row r="14" customFormat="false" ht="15" hidden="false" customHeight="false" outlineLevel="0" collapsed="false">
      <c r="A14" s="11" t="n">
        <v>6100010</v>
      </c>
      <c r="B14" s="11" t="n">
        <v>5000010</v>
      </c>
      <c r="C14" s="19" t="n">
        <v>0</v>
      </c>
      <c r="D14" s="19" t="n">
        <v>0</v>
      </c>
      <c r="E14" s="15" t="n">
        <v>46266.3360532407</v>
      </c>
    </row>
    <row r="15" customFormat="false" ht="15" hidden="false" customHeight="false" outlineLevel="0" collapsed="false">
      <c r="A15" s="11" t="n">
        <v>6100011</v>
      </c>
      <c r="B15" s="11" t="n">
        <v>5000011</v>
      </c>
      <c r="C15" s="19" t="n">
        <v>2684</v>
      </c>
      <c r="D15" s="19" t="n">
        <v>9087</v>
      </c>
      <c r="E15" s="15" t="n">
        <v>46270.7986418982</v>
      </c>
    </row>
    <row r="16" customFormat="false" ht="15" hidden="false" customHeight="false" outlineLevel="0" collapsed="false">
      <c r="A16" s="11" t="n">
        <v>6100012</v>
      </c>
      <c r="B16" s="11" t="n">
        <v>5000012</v>
      </c>
      <c r="C16" s="19" t="n">
        <v>3200</v>
      </c>
      <c r="D16" s="19" t="n">
        <v>3200</v>
      </c>
      <c r="E16" s="15" t="n">
        <v>46259.4818341435</v>
      </c>
    </row>
    <row r="18" customFormat="false" ht="15" hidden="false" customHeight="false" outlineLevel="0" collapsed="false">
      <c r="A18" s="16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20.1" hidden="false" customHeight="false" outlineLevel="0" collapsed="false">
      <c r="A1" s="7" t="s">
        <v>141</v>
      </c>
    </row>
    <row r="3" customFormat="false" ht="23.85" hidden="false" customHeight="false" outlineLevel="0" collapsed="false">
      <c r="A3" s="8" t="s">
        <v>142</v>
      </c>
      <c r="B3" s="8" t="s">
        <v>109</v>
      </c>
      <c r="C3" s="8" t="s">
        <v>143</v>
      </c>
      <c r="D3" s="8" t="s">
        <v>144</v>
      </c>
      <c r="E3" s="8" t="s">
        <v>145</v>
      </c>
      <c r="F3" s="8" t="s">
        <v>146</v>
      </c>
      <c r="G3" s="8" t="s">
        <v>147</v>
      </c>
      <c r="H3" s="8" t="s">
        <v>148</v>
      </c>
      <c r="I3" s="8" t="s">
        <v>149</v>
      </c>
    </row>
    <row r="4" customFormat="false" ht="30" hidden="false" customHeight="true" outlineLevel="0" collapsed="false">
      <c r="A4" s="9" t="s">
        <v>150</v>
      </c>
      <c r="B4" s="17" t="s">
        <v>136</v>
      </c>
      <c r="C4" s="10" t="s">
        <v>151</v>
      </c>
      <c r="D4" s="10" t="s">
        <v>152</v>
      </c>
      <c r="E4" s="10" t="s">
        <v>153</v>
      </c>
      <c r="F4" s="10" t="s">
        <v>154</v>
      </c>
      <c r="G4" s="10" t="s">
        <v>155</v>
      </c>
      <c r="H4" s="10" t="s">
        <v>156</v>
      </c>
      <c r="I4" s="10" t="s">
        <v>157</v>
      </c>
    </row>
    <row r="5" customFormat="false" ht="15" hidden="false" customHeight="false" outlineLevel="0" collapsed="false">
      <c r="A5" s="11" t="n">
        <v>8000001</v>
      </c>
      <c r="B5" s="11" t="n">
        <v>5000001</v>
      </c>
      <c r="C5" s="15" t="n">
        <v>46237.4255128472</v>
      </c>
      <c r="D5" s="19" t="n">
        <v>300000</v>
      </c>
      <c r="E5" s="13" t="s">
        <v>158</v>
      </c>
      <c r="F5" s="12" t="s">
        <v>159</v>
      </c>
      <c r="G5" s="19" t="n">
        <v>300000</v>
      </c>
      <c r="H5" s="12" t="s">
        <v>160</v>
      </c>
      <c r="I5" s="14" t="n">
        <v>48063</v>
      </c>
    </row>
    <row r="6" customFormat="false" ht="15" hidden="false" customHeight="false" outlineLevel="0" collapsed="false">
      <c r="A6" s="11" t="n">
        <v>8000002</v>
      </c>
      <c r="B6" s="11" t="n">
        <v>5000003</v>
      </c>
      <c r="C6" s="15" t="n">
        <v>46237.4861444445</v>
      </c>
      <c r="D6" s="19" t="n">
        <v>150000</v>
      </c>
      <c r="E6" s="13" t="s">
        <v>161</v>
      </c>
      <c r="F6" s="12" t="s">
        <v>159</v>
      </c>
      <c r="G6" s="19" t="n">
        <v>150000</v>
      </c>
      <c r="H6" s="12" t="s">
        <v>162</v>
      </c>
      <c r="I6" s="14" t="n">
        <v>48063</v>
      </c>
    </row>
    <row r="7" customFormat="false" ht="15" hidden="false" customHeight="false" outlineLevel="0" collapsed="false">
      <c r="A7" s="11" t="n">
        <v>8000003</v>
      </c>
      <c r="B7" s="11" t="n">
        <v>5000011</v>
      </c>
      <c r="C7" s="15" t="n">
        <v>46240.4205232639</v>
      </c>
      <c r="D7" s="19" t="n">
        <v>250000</v>
      </c>
      <c r="E7" s="13" t="s">
        <v>158</v>
      </c>
      <c r="F7" s="12" t="s">
        <v>159</v>
      </c>
      <c r="G7" s="19" t="n">
        <v>250000</v>
      </c>
      <c r="H7" s="12" t="s">
        <v>160</v>
      </c>
      <c r="I7" s="14" t="n">
        <v>48066</v>
      </c>
    </row>
    <row r="8" customFormat="false" ht="15" hidden="false" customHeight="false" outlineLevel="0" collapsed="false">
      <c r="A8" s="11" t="n">
        <v>8000004</v>
      </c>
      <c r="B8" s="11" t="n">
        <v>5000005</v>
      </c>
      <c r="C8" s="15" t="n">
        <v>46242.3641090278</v>
      </c>
      <c r="D8" s="19" t="n">
        <v>500000</v>
      </c>
      <c r="E8" s="13" t="s">
        <v>163</v>
      </c>
      <c r="F8" s="12" t="s">
        <v>159</v>
      </c>
      <c r="G8" s="19" t="n">
        <v>500000</v>
      </c>
      <c r="H8" s="12" t="s">
        <v>160</v>
      </c>
      <c r="I8" s="14" t="n">
        <v>48068</v>
      </c>
    </row>
    <row r="9" customFormat="false" ht="15" hidden="false" customHeight="false" outlineLevel="0" collapsed="false">
      <c r="A9" s="11" t="n">
        <v>8000005</v>
      </c>
      <c r="B9" s="11" t="n">
        <v>5000006</v>
      </c>
      <c r="C9" s="15" t="n">
        <v>46244.6274128472</v>
      </c>
      <c r="D9" s="19" t="n">
        <v>200000</v>
      </c>
      <c r="E9" s="13" t="s">
        <v>164</v>
      </c>
      <c r="F9" s="12" t="s">
        <v>165</v>
      </c>
      <c r="G9" s="19" t="n">
        <v>200000</v>
      </c>
      <c r="H9" s="12" t="s">
        <v>166</v>
      </c>
      <c r="I9" s="14" t="n">
        <v>48070</v>
      </c>
    </row>
    <row r="10" customFormat="false" ht="15" hidden="false" customHeight="false" outlineLevel="0" collapsed="false">
      <c r="A10" s="11" t="n">
        <v>8000006</v>
      </c>
      <c r="B10" s="11" t="n">
        <v>5000007</v>
      </c>
      <c r="C10" s="15" t="n">
        <v>46247.375059375</v>
      </c>
      <c r="D10" s="19" t="n">
        <v>100000</v>
      </c>
      <c r="E10" s="13" t="s">
        <v>167</v>
      </c>
      <c r="F10" s="12" t="s">
        <v>159</v>
      </c>
      <c r="G10" s="19" t="n">
        <v>100000</v>
      </c>
      <c r="H10" s="12" t="s">
        <v>162</v>
      </c>
      <c r="I10" s="14" t="n">
        <v>48073</v>
      </c>
    </row>
    <row r="11" customFormat="false" ht="15" hidden="false" customHeight="false" outlineLevel="0" collapsed="false">
      <c r="A11" s="11" t="n">
        <v>8000007</v>
      </c>
      <c r="B11" s="11" t="n">
        <v>5000009</v>
      </c>
      <c r="C11" s="15" t="n">
        <v>46252.5972222222</v>
      </c>
      <c r="D11" s="19" t="n">
        <v>50000</v>
      </c>
      <c r="E11" s="13" t="s">
        <v>158</v>
      </c>
      <c r="F11" s="12" t="s">
        <v>159</v>
      </c>
      <c r="G11" s="19" t="n">
        <v>50000</v>
      </c>
      <c r="H11" s="12" t="s">
        <v>160</v>
      </c>
      <c r="I11" s="14" t="n">
        <v>48078</v>
      </c>
    </row>
    <row r="12" customFormat="false" ht="15" hidden="false" customHeight="false" outlineLevel="0" collapsed="false">
      <c r="A12" s="11" t="n">
        <v>8000008</v>
      </c>
      <c r="B12" s="11" t="n">
        <v>5000004</v>
      </c>
      <c r="C12" s="15" t="n">
        <v>46254.7331215278</v>
      </c>
      <c r="D12" s="19" t="n">
        <v>300000</v>
      </c>
      <c r="E12" s="13" t="s">
        <v>164</v>
      </c>
      <c r="F12" s="12" t="s">
        <v>165</v>
      </c>
      <c r="G12" s="19" t="n">
        <v>300000</v>
      </c>
      <c r="H12" s="12" t="s">
        <v>168</v>
      </c>
      <c r="I12" s="14" t="n">
        <v>48080</v>
      </c>
    </row>
    <row r="13" customFormat="false" ht="15" hidden="false" customHeight="false" outlineLevel="0" collapsed="false">
      <c r="A13" s="11" t="n">
        <v>8000009</v>
      </c>
      <c r="B13" s="11" t="n">
        <v>5000012</v>
      </c>
      <c r="C13" s="15" t="n">
        <v>46258.675084838</v>
      </c>
      <c r="D13" s="19" t="n">
        <v>150000</v>
      </c>
      <c r="E13" s="13" t="s">
        <v>164</v>
      </c>
      <c r="F13" s="12" t="s">
        <v>165</v>
      </c>
      <c r="G13" s="19" t="n">
        <v>150000</v>
      </c>
      <c r="H13" s="12" t="s">
        <v>169</v>
      </c>
      <c r="I13" s="14" t="n">
        <v>48084</v>
      </c>
    </row>
    <row r="14" customFormat="false" ht="15" hidden="false" customHeight="false" outlineLevel="0" collapsed="false">
      <c r="A14" s="11" t="n">
        <v>8000010</v>
      </c>
      <c r="B14" s="11" t="n">
        <v>5000002</v>
      </c>
      <c r="C14" s="15" t="n">
        <v>46259.4077935185</v>
      </c>
      <c r="D14" s="19" t="n">
        <v>400000</v>
      </c>
      <c r="E14" s="13" t="s">
        <v>158</v>
      </c>
      <c r="F14" s="12" t="s">
        <v>159</v>
      </c>
      <c r="G14" s="19" t="n">
        <v>400000</v>
      </c>
      <c r="H14" s="12" t="s">
        <v>160</v>
      </c>
      <c r="I14" s="14" t="n">
        <v>48085</v>
      </c>
    </row>
    <row r="15" customFormat="false" ht="15" hidden="false" customHeight="false" outlineLevel="0" collapsed="false">
      <c r="A15" s="11" t="n">
        <v>8000011</v>
      </c>
      <c r="B15" s="11" t="n">
        <v>5000006</v>
      </c>
      <c r="C15" s="15" t="n">
        <v>46260.3822011574</v>
      </c>
      <c r="D15" s="19" t="n">
        <v>250000</v>
      </c>
      <c r="E15" s="13" t="s">
        <v>158</v>
      </c>
      <c r="F15" s="12" t="s">
        <v>159</v>
      </c>
      <c r="G15" s="19" t="n">
        <v>441000</v>
      </c>
      <c r="H15" s="12" t="s">
        <v>162</v>
      </c>
      <c r="I15" s="14" t="n">
        <v>48086</v>
      </c>
    </row>
    <row r="16" customFormat="false" ht="15" hidden="false" customHeight="false" outlineLevel="0" collapsed="false">
      <c r="A16" s="11" t="n">
        <v>8000012</v>
      </c>
      <c r="B16" s="11" t="n">
        <v>5000001</v>
      </c>
      <c r="C16" s="15" t="n">
        <v>46266.3487372685</v>
      </c>
      <c r="D16" s="19" t="n">
        <v>500000</v>
      </c>
      <c r="E16" s="13" t="s">
        <v>158</v>
      </c>
      <c r="F16" s="12" t="s">
        <v>159</v>
      </c>
      <c r="G16" s="19" t="n">
        <v>758580</v>
      </c>
      <c r="H16" s="12" t="s">
        <v>160</v>
      </c>
      <c r="I16" s="14" t="n">
        <v>48092</v>
      </c>
    </row>
    <row r="17" customFormat="false" ht="15" hidden="false" customHeight="false" outlineLevel="0" collapsed="false">
      <c r="A17" s="11" t="n">
        <v>8000013</v>
      </c>
      <c r="B17" s="11" t="n">
        <v>5000010</v>
      </c>
      <c r="C17" s="15" t="n">
        <v>46267.3971717593</v>
      </c>
      <c r="D17" s="19" t="n">
        <v>100000</v>
      </c>
      <c r="E17" s="13" t="s">
        <v>161</v>
      </c>
      <c r="F17" s="12" t="s">
        <v>159</v>
      </c>
      <c r="G17" s="19" t="n">
        <v>100000</v>
      </c>
      <c r="H17" s="12" t="s">
        <v>162</v>
      </c>
      <c r="I17" s="14" t="n">
        <v>48093</v>
      </c>
    </row>
    <row r="19" customFormat="false" ht="15" hidden="false" customHeight="false" outlineLevel="0" collapsed="false">
      <c r="A19" s="1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10" min="8" style="0" width="16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3" min="13" style="0" width="14"/>
  </cols>
  <sheetData>
    <row r="1" customFormat="false" ht="20.1" hidden="false" customHeight="false" outlineLevel="0" collapsed="false">
      <c r="A1" s="7" t="s">
        <v>171</v>
      </c>
    </row>
    <row r="3" customFormat="false" ht="23.85" hidden="false" customHeight="false" outlineLevel="0" collapsed="false">
      <c r="A3" s="8" t="s">
        <v>172</v>
      </c>
      <c r="B3" s="8" t="s">
        <v>109</v>
      </c>
      <c r="C3" s="8" t="s">
        <v>173</v>
      </c>
      <c r="D3" s="8" t="s">
        <v>174</v>
      </c>
      <c r="E3" s="8" t="s">
        <v>175</v>
      </c>
      <c r="F3" s="8" t="s">
        <v>176</v>
      </c>
      <c r="G3" s="8" t="s">
        <v>177</v>
      </c>
      <c r="H3" s="8" t="s">
        <v>178</v>
      </c>
      <c r="I3" s="8" t="s">
        <v>179</v>
      </c>
      <c r="J3" s="8" t="s">
        <v>180</v>
      </c>
      <c r="K3" s="8" t="s">
        <v>181</v>
      </c>
      <c r="L3" s="8" t="s">
        <v>148</v>
      </c>
      <c r="M3" s="8" t="s">
        <v>149</v>
      </c>
    </row>
    <row r="4" customFormat="false" ht="30" hidden="false" customHeight="true" outlineLevel="0" collapsed="false">
      <c r="A4" s="9" t="s">
        <v>182</v>
      </c>
      <c r="B4" s="17" t="s">
        <v>136</v>
      </c>
      <c r="C4" s="17" t="s">
        <v>183</v>
      </c>
      <c r="D4" s="10" t="s">
        <v>184</v>
      </c>
      <c r="E4" s="10" t="s">
        <v>185</v>
      </c>
      <c r="F4" s="10" t="s">
        <v>186</v>
      </c>
      <c r="G4" s="10" t="s">
        <v>187</v>
      </c>
      <c r="H4" s="10" t="s">
        <v>188</v>
      </c>
      <c r="I4" s="10" t="s">
        <v>189</v>
      </c>
      <c r="J4" s="10" t="s">
        <v>190</v>
      </c>
      <c r="K4" s="10" t="s">
        <v>191</v>
      </c>
      <c r="L4" s="10" t="s">
        <v>156</v>
      </c>
      <c r="M4" s="10" t="s">
        <v>157</v>
      </c>
    </row>
    <row r="5" customFormat="false" ht="15" hidden="false" customHeight="false" outlineLevel="0" collapsed="false">
      <c r="A5" s="11" t="n">
        <v>9000001</v>
      </c>
      <c r="B5" s="11" t="n">
        <v>5000001</v>
      </c>
      <c r="C5" s="11" t="n">
        <v>700001</v>
      </c>
      <c r="D5" s="15" t="n">
        <v>46239.5216383102</v>
      </c>
      <c r="E5" s="13" t="s">
        <v>192</v>
      </c>
      <c r="F5" s="19" t="n">
        <v>12000</v>
      </c>
      <c r="G5" s="19" t="n">
        <v>0</v>
      </c>
      <c r="H5" s="19" t="n">
        <v>12000</v>
      </c>
      <c r="I5" s="19" t="n">
        <v>1200</v>
      </c>
      <c r="J5" s="19" t="n">
        <v>288000</v>
      </c>
      <c r="K5" s="19" t="n">
        <v>1200</v>
      </c>
      <c r="L5" s="12" t="s">
        <v>160</v>
      </c>
      <c r="M5" s="14" t="n">
        <v>48065</v>
      </c>
    </row>
    <row r="6" customFormat="false" ht="15" hidden="false" customHeight="false" outlineLevel="0" collapsed="false">
      <c r="A6" s="11" t="n">
        <v>9000002</v>
      </c>
      <c r="B6" s="11" t="n">
        <v>5000003</v>
      </c>
      <c r="C6" s="11" t="n">
        <v>700002</v>
      </c>
      <c r="D6" s="15" t="n">
        <v>46239.7518185185</v>
      </c>
      <c r="E6" s="13" t="s">
        <v>193</v>
      </c>
      <c r="F6" s="19" t="n">
        <v>34000</v>
      </c>
      <c r="G6" s="19" t="n">
        <v>0</v>
      </c>
      <c r="H6" s="19" t="n">
        <v>34000</v>
      </c>
      <c r="I6" s="19" t="n">
        <v>3400</v>
      </c>
      <c r="J6" s="19" t="n">
        <v>116000</v>
      </c>
      <c r="K6" s="19" t="n">
        <v>3400</v>
      </c>
      <c r="L6" s="12" t="s">
        <v>162</v>
      </c>
      <c r="M6" s="14" t="n">
        <v>48065</v>
      </c>
    </row>
    <row r="7" customFormat="false" ht="15" hidden="false" customHeight="false" outlineLevel="0" collapsed="false">
      <c r="A7" s="11" t="n">
        <v>9000003</v>
      </c>
      <c r="B7" s="11" t="n">
        <v>5000001</v>
      </c>
      <c r="C7" s="11" t="n">
        <v>700002</v>
      </c>
      <c r="D7" s="15" t="n">
        <v>46241.3860150463</v>
      </c>
      <c r="E7" s="13" t="s">
        <v>192</v>
      </c>
      <c r="F7" s="19" t="n">
        <v>25000</v>
      </c>
      <c r="G7" s="19" t="n">
        <v>1200</v>
      </c>
      <c r="H7" s="19" t="n">
        <v>23800</v>
      </c>
      <c r="I7" s="19" t="n">
        <v>2380</v>
      </c>
      <c r="J7" s="19" t="n">
        <v>264200</v>
      </c>
      <c r="K7" s="19" t="n">
        <v>2380</v>
      </c>
      <c r="L7" s="12" t="s">
        <v>160</v>
      </c>
      <c r="M7" s="14" t="n">
        <v>48067</v>
      </c>
    </row>
    <row r="8" customFormat="false" ht="15" hidden="false" customHeight="false" outlineLevel="0" collapsed="false">
      <c r="A8" s="11" t="n">
        <v>9000004</v>
      </c>
      <c r="B8" s="11" t="n">
        <v>5000011</v>
      </c>
      <c r="C8" s="11" t="n">
        <v>700007</v>
      </c>
      <c r="D8" s="15" t="n">
        <v>46241.7643697917</v>
      </c>
      <c r="E8" s="13" t="s">
        <v>192</v>
      </c>
      <c r="F8" s="19" t="n">
        <v>62000</v>
      </c>
      <c r="G8" s="19" t="n">
        <v>0</v>
      </c>
      <c r="H8" s="19" t="n">
        <v>62000</v>
      </c>
      <c r="I8" s="19" t="n">
        <v>4960</v>
      </c>
      <c r="J8" s="19" t="n">
        <v>188000</v>
      </c>
      <c r="K8" s="19" t="n">
        <v>4960</v>
      </c>
      <c r="L8" s="12" t="s">
        <v>160</v>
      </c>
      <c r="M8" s="14" t="n">
        <v>48067</v>
      </c>
    </row>
    <row r="9" customFormat="false" ht="15" hidden="false" customHeight="false" outlineLevel="0" collapsed="false">
      <c r="A9" s="11" t="n">
        <v>9000005</v>
      </c>
      <c r="B9" s="11" t="n">
        <v>5000005</v>
      </c>
      <c r="C9" s="11" t="n">
        <v>700003</v>
      </c>
      <c r="D9" s="15" t="n">
        <v>46243.8069865741</v>
      </c>
      <c r="E9" s="13" t="s">
        <v>192</v>
      </c>
      <c r="F9" s="19" t="n">
        <v>88000</v>
      </c>
      <c r="G9" s="19" t="n">
        <v>0</v>
      </c>
      <c r="H9" s="19" t="n">
        <v>88000</v>
      </c>
      <c r="I9" s="19" t="n">
        <v>6160</v>
      </c>
      <c r="J9" s="19" t="n">
        <v>412000</v>
      </c>
      <c r="K9" s="19" t="n">
        <v>6160</v>
      </c>
      <c r="L9" s="12" t="s">
        <v>160</v>
      </c>
      <c r="M9" s="14" t="n">
        <v>48069</v>
      </c>
    </row>
    <row r="10" customFormat="false" ht="15" hidden="false" customHeight="false" outlineLevel="0" collapsed="false">
      <c r="A10" s="11" t="n">
        <v>9000006</v>
      </c>
      <c r="B10" s="11" t="n">
        <v>5000006</v>
      </c>
      <c r="C10" s="11" t="n">
        <v>700005</v>
      </c>
      <c r="D10" s="15" t="n">
        <v>46245.5456583333</v>
      </c>
      <c r="E10" s="13" t="s">
        <v>192</v>
      </c>
      <c r="F10" s="19" t="n">
        <v>9000</v>
      </c>
      <c r="G10" s="19" t="n">
        <v>0</v>
      </c>
      <c r="H10" s="19" t="n">
        <v>9000</v>
      </c>
      <c r="I10" s="19" t="n">
        <v>1080</v>
      </c>
      <c r="J10" s="19" t="n">
        <v>191000</v>
      </c>
      <c r="K10" s="19" t="n">
        <v>1080</v>
      </c>
      <c r="L10" s="12" t="s">
        <v>162</v>
      </c>
      <c r="M10" s="14" t="n">
        <v>48071</v>
      </c>
    </row>
    <row r="11" customFormat="false" ht="15" hidden="false" customHeight="false" outlineLevel="0" collapsed="false">
      <c r="A11" s="11" t="n">
        <v>9000007</v>
      </c>
      <c r="B11" s="11" t="n">
        <v>5000001</v>
      </c>
      <c r="C11" s="11" t="n">
        <v>700001</v>
      </c>
      <c r="D11" s="15" t="n">
        <v>46246.8620053241</v>
      </c>
      <c r="E11" s="13" t="s">
        <v>192</v>
      </c>
      <c r="F11" s="19" t="n">
        <v>8000</v>
      </c>
      <c r="G11" s="19" t="n">
        <v>2380</v>
      </c>
      <c r="H11" s="19" t="n">
        <v>5620</v>
      </c>
      <c r="I11" s="19" t="n">
        <v>562</v>
      </c>
      <c r="J11" s="19" t="n">
        <v>258580</v>
      </c>
      <c r="K11" s="19" t="n">
        <v>562</v>
      </c>
      <c r="L11" s="12" t="s">
        <v>160</v>
      </c>
      <c r="M11" s="14" t="n">
        <v>48072</v>
      </c>
    </row>
    <row r="12" customFormat="false" ht="15" hidden="false" customHeight="false" outlineLevel="0" collapsed="false">
      <c r="A12" s="11" t="n">
        <v>9000008</v>
      </c>
      <c r="B12" s="11" t="n">
        <v>5000007</v>
      </c>
      <c r="C12" s="11" t="n">
        <v>700001</v>
      </c>
      <c r="D12" s="15" t="n">
        <v>46248.5084736111</v>
      </c>
      <c r="E12" s="13" t="s">
        <v>192</v>
      </c>
      <c r="F12" s="19" t="n">
        <v>15000</v>
      </c>
      <c r="G12" s="19" t="n">
        <v>0</v>
      </c>
      <c r="H12" s="19" t="n">
        <v>15000</v>
      </c>
      <c r="I12" s="19" t="n">
        <v>1500</v>
      </c>
      <c r="J12" s="19" t="n">
        <v>85000</v>
      </c>
      <c r="K12" s="19" t="n">
        <v>1500</v>
      </c>
      <c r="L12" s="12" t="s">
        <v>162</v>
      </c>
      <c r="M12" s="14" t="n">
        <v>48074</v>
      </c>
    </row>
    <row r="13" customFormat="false" ht="15" hidden="false" customHeight="false" outlineLevel="0" collapsed="false">
      <c r="A13" s="11" t="n">
        <v>9000009</v>
      </c>
      <c r="B13" s="11" t="n">
        <v>5000003</v>
      </c>
      <c r="C13" s="11" t="n">
        <v>700001</v>
      </c>
      <c r="D13" s="15" t="n">
        <v>46249.6999525463</v>
      </c>
      <c r="E13" s="13" t="s">
        <v>192</v>
      </c>
      <c r="F13" s="19" t="n">
        <v>22000</v>
      </c>
      <c r="G13" s="19" t="n">
        <v>3400</v>
      </c>
      <c r="H13" s="19" t="n">
        <v>18600</v>
      </c>
      <c r="I13" s="19" t="n">
        <v>1860</v>
      </c>
      <c r="J13" s="19" t="n">
        <v>97400</v>
      </c>
      <c r="K13" s="19" t="n">
        <v>1860</v>
      </c>
      <c r="L13" s="12" t="s">
        <v>162</v>
      </c>
      <c r="M13" s="14" t="n">
        <v>48075</v>
      </c>
    </row>
    <row r="14" customFormat="false" ht="15" hidden="false" customHeight="false" outlineLevel="0" collapsed="false">
      <c r="A14" s="11" t="n">
        <v>9000010</v>
      </c>
      <c r="B14" s="11" t="n">
        <v>5000003</v>
      </c>
      <c r="C14" s="11" t="n">
        <v>700002</v>
      </c>
      <c r="D14" s="15" t="n">
        <v>46250.419009375</v>
      </c>
      <c r="E14" s="13" t="s">
        <v>194</v>
      </c>
      <c r="F14" s="19" t="n">
        <v>-34000</v>
      </c>
      <c r="G14" s="19" t="n">
        <v>0</v>
      </c>
      <c r="H14" s="19" t="n">
        <v>-34000</v>
      </c>
      <c r="I14" s="19" t="n">
        <v>-3400</v>
      </c>
      <c r="J14" s="19" t="n">
        <v>131400</v>
      </c>
      <c r="K14" s="19" t="n">
        <v>-1540</v>
      </c>
      <c r="L14" s="12" t="s">
        <v>162</v>
      </c>
      <c r="M14" s="14" t="n">
        <v>48076</v>
      </c>
    </row>
    <row r="15" customFormat="false" ht="15" hidden="false" customHeight="false" outlineLevel="0" collapsed="false">
      <c r="A15" s="11" t="n">
        <v>9000011</v>
      </c>
      <c r="B15" s="11" t="n">
        <v>5000011</v>
      </c>
      <c r="C15" s="11" t="n">
        <v>700008</v>
      </c>
      <c r="D15" s="15" t="n">
        <v>46252.5037023148</v>
      </c>
      <c r="E15" s="13" t="s">
        <v>192</v>
      </c>
      <c r="F15" s="19" t="n">
        <v>23000</v>
      </c>
      <c r="G15" s="19" t="n">
        <v>4960</v>
      </c>
      <c r="H15" s="19" t="n">
        <v>18040</v>
      </c>
      <c r="I15" s="19" t="n">
        <v>1443</v>
      </c>
      <c r="J15" s="19" t="n">
        <v>169960</v>
      </c>
      <c r="K15" s="19" t="n">
        <v>1443</v>
      </c>
      <c r="L15" s="12" t="s">
        <v>160</v>
      </c>
      <c r="M15" s="14" t="n">
        <v>48078</v>
      </c>
    </row>
    <row r="16" customFormat="false" ht="15" hidden="false" customHeight="false" outlineLevel="0" collapsed="false">
      <c r="A16" s="11" t="n">
        <v>9000012</v>
      </c>
      <c r="B16" s="11" t="n">
        <v>5000009</v>
      </c>
      <c r="C16" s="11" t="n">
        <v>700004</v>
      </c>
      <c r="D16" s="15" t="n">
        <v>46253.4661008102</v>
      </c>
      <c r="E16" s="13" t="s">
        <v>192</v>
      </c>
      <c r="F16" s="19" t="n">
        <v>20000</v>
      </c>
      <c r="G16" s="19" t="n">
        <v>0</v>
      </c>
      <c r="H16" s="19" t="n">
        <v>20000</v>
      </c>
      <c r="I16" s="19" t="n">
        <v>1400</v>
      </c>
      <c r="J16" s="19" t="n">
        <v>30000</v>
      </c>
      <c r="K16" s="19" t="n">
        <v>1400</v>
      </c>
      <c r="L16" s="12" t="s">
        <v>160</v>
      </c>
      <c r="M16" s="14" t="n">
        <v>48079</v>
      </c>
    </row>
    <row r="17" customFormat="false" ht="15" hidden="false" customHeight="false" outlineLevel="0" collapsed="false">
      <c r="A17" s="11" t="n">
        <v>9000013</v>
      </c>
      <c r="B17" s="11" t="n">
        <v>5000004</v>
      </c>
      <c r="C17" s="11" t="n">
        <v>700005</v>
      </c>
      <c r="D17" s="15" t="n">
        <v>46255.535072338</v>
      </c>
      <c r="E17" s="13" t="s">
        <v>192</v>
      </c>
      <c r="F17" s="19" t="n">
        <v>45000</v>
      </c>
      <c r="G17" s="19" t="n">
        <v>0</v>
      </c>
      <c r="H17" s="19" t="n">
        <v>45000</v>
      </c>
      <c r="I17" s="19" t="n">
        <v>5400</v>
      </c>
      <c r="J17" s="19" t="n">
        <v>255000</v>
      </c>
      <c r="K17" s="19" t="n">
        <v>5400</v>
      </c>
      <c r="L17" s="12" t="s">
        <v>162</v>
      </c>
      <c r="M17" s="14" t="n">
        <v>48081</v>
      </c>
    </row>
    <row r="18" customFormat="false" ht="15" hidden="false" customHeight="false" outlineLevel="0" collapsed="false">
      <c r="A18" s="11" t="n">
        <v>9000014</v>
      </c>
      <c r="B18" s="11" t="n">
        <v>5000005</v>
      </c>
      <c r="C18" s="11" t="n">
        <v>700004</v>
      </c>
      <c r="D18" s="15" t="n">
        <v>46256.7715510417</v>
      </c>
      <c r="E18" s="13" t="s">
        <v>192</v>
      </c>
      <c r="F18" s="19" t="n">
        <v>12000</v>
      </c>
      <c r="G18" s="19" t="n">
        <v>6160</v>
      </c>
      <c r="H18" s="19" t="n">
        <v>5840</v>
      </c>
      <c r="I18" s="19" t="n">
        <v>408</v>
      </c>
      <c r="J18" s="19" t="n">
        <v>406160</v>
      </c>
      <c r="K18" s="19" t="n">
        <v>408</v>
      </c>
      <c r="L18" s="12" t="s">
        <v>160</v>
      </c>
      <c r="M18" s="14" t="n">
        <v>48082</v>
      </c>
    </row>
    <row r="19" customFormat="false" ht="15" hidden="false" customHeight="false" outlineLevel="0" collapsed="false">
      <c r="A19" s="11" t="n">
        <v>9000015</v>
      </c>
      <c r="B19" s="11" t="n">
        <v>5000012</v>
      </c>
      <c r="C19" s="11" t="n">
        <v>700007</v>
      </c>
      <c r="D19" s="15" t="n">
        <v>46259.4818341435</v>
      </c>
      <c r="E19" s="13" t="s">
        <v>192</v>
      </c>
      <c r="F19" s="19" t="n">
        <v>40000</v>
      </c>
      <c r="G19" s="19" t="n">
        <v>0</v>
      </c>
      <c r="H19" s="19" t="n">
        <v>40000</v>
      </c>
      <c r="I19" s="19" t="n">
        <v>3200</v>
      </c>
      <c r="J19" s="19" t="n">
        <v>110000</v>
      </c>
      <c r="K19" s="19" t="n">
        <v>3200</v>
      </c>
      <c r="L19" s="12" t="s">
        <v>162</v>
      </c>
      <c r="M19" s="14" t="n">
        <v>48085</v>
      </c>
    </row>
    <row r="20" customFormat="false" ht="15" hidden="false" customHeight="false" outlineLevel="0" collapsed="false">
      <c r="A20" s="11" t="n">
        <v>9000016</v>
      </c>
      <c r="B20" s="11" t="n">
        <v>5000002</v>
      </c>
      <c r="C20" s="11" t="n">
        <v>700003</v>
      </c>
      <c r="D20" s="15" t="n">
        <v>46260.555425</v>
      </c>
      <c r="E20" s="13" t="s">
        <v>192</v>
      </c>
      <c r="F20" s="19" t="n">
        <v>150000</v>
      </c>
      <c r="G20" s="19" t="n">
        <v>0</v>
      </c>
      <c r="H20" s="19" t="n">
        <v>150000</v>
      </c>
      <c r="I20" s="19" t="n">
        <v>10500</v>
      </c>
      <c r="J20" s="19" t="n">
        <v>250000</v>
      </c>
      <c r="K20" s="19" t="n">
        <v>10500</v>
      </c>
      <c r="L20" s="12" t="s">
        <v>160</v>
      </c>
      <c r="M20" s="14" t="n">
        <v>48086</v>
      </c>
    </row>
    <row r="21" customFormat="false" ht="15" hidden="false" customHeight="false" outlineLevel="0" collapsed="false">
      <c r="A21" s="11" t="n">
        <v>9000017</v>
      </c>
      <c r="B21" s="11" t="n">
        <v>5000006</v>
      </c>
      <c r="C21" s="11" t="n">
        <v>700005</v>
      </c>
      <c r="D21" s="15" t="n">
        <v>46261.4365340278</v>
      </c>
      <c r="E21" s="13" t="s">
        <v>192</v>
      </c>
      <c r="F21" s="19" t="n">
        <v>380000</v>
      </c>
      <c r="G21" s="19" t="n">
        <v>1080</v>
      </c>
      <c r="H21" s="19" t="n">
        <v>378920</v>
      </c>
      <c r="I21" s="19" t="n">
        <v>35720</v>
      </c>
      <c r="J21" s="19" t="n">
        <v>62080</v>
      </c>
      <c r="K21" s="19" t="n">
        <v>35720</v>
      </c>
      <c r="L21" s="12" t="s">
        <v>162</v>
      </c>
      <c r="M21" s="14" t="n">
        <v>48087</v>
      </c>
    </row>
    <row r="22" customFormat="false" ht="15" hidden="false" customHeight="false" outlineLevel="0" collapsed="false">
      <c r="A22" s="11" t="n">
        <v>9000018</v>
      </c>
      <c r="B22" s="11" t="n">
        <v>5000001</v>
      </c>
      <c r="C22" s="11" t="n">
        <v>700002</v>
      </c>
      <c r="D22" s="15" t="n">
        <v>46267.5025945602</v>
      </c>
      <c r="E22" s="13" t="s">
        <v>192</v>
      </c>
      <c r="F22" s="19" t="n">
        <v>46000</v>
      </c>
      <c r="G22" s="19" t="n">
        <v>562</v>
      </c>
      <c r="H22" s="19" t="n">
        <v>45438</v>
      </c>
      <c r="I22" s="19" t="n">
        <v>4543</v>
      </c>
      <c r="J22" s="19" t="n">
        <v>713142</v>
      </c>
      <c r="K22" s="19" t="n">
        <v>4543</v>
      </c>
      <c r="L22" s="12" t="s">
        <v>160</v>
      </c>
      <c r="M22" s="14" t="n">
        <v>48093</v>
      </c>
    </row>
    <row r="23" customFormat="false" ht="15" hidden="false" customHeight="false" outlineLevel="0" collapsed="false">
      <c r="A23" s="11" t="n">
        <v>9000019</v>
      </c>
      <c r="B23" s="11" t="n">
        <v>5000003</v>
      </c>
      <c r="C23" s="11" t="n">
        <v>700001</v>
      </c>
      <c r="D23" s="15" t="n">
        <v>46268.8224690972</v>
      </c>
      <c r="E23" s="13" t="s">
        <v>192</v>
      </c>
      <c r="F23" s="19" t="n">
        <v>18000</v>
      </c>
      <c r="G23" s="19" t="n">
        <v>-1540</v>
      </c>
      <c r="H23" s="19" t="n">
        <v>19540</v>
      </c>
      <c r="I23" s="19" t="n">
        <v>1954</v>
      </c>
      <c r="J23" s="19" t="n">
        <v>111860</v>
      </c>
      <c r="K23" s="19" t="n">
        <v>1954</v>
      </c>
      <c r="L23" s="12" t="s">
        <v>162</v>
      </c>
      <c r="M23" s="14" t="n">
        <v>48094</v>
      </c>
    </row>
    <row r="24" customFormat="false" ht="15" hidden="false" customHeight="false" outlineLevel="0" collapsed="false">
      <c r="A24" s="11" t="n">
        <v>9000020</v>
      </c>
      <c r="B24" s="11" t="n">
        <v>5000006</v>
      </c>
      <c r="C24" s="11" t="n">
        <v>700005</v>
      </c>
      <c r="D24" s="15" t="n">
        <v>46268.5143672454</v>
      </c>
      <c r="E24" s="13" t="s">
        <v>192</v>
      </c>
      <c r="F24" s="19" t="n">
        <v>5000</v>
      </c>
      <c r="G24" s="19" t="n">
        <v>5000</v>
      </c>
      <c r="H24" s="19" t="n">
        <v>0</v>
      </c>
      <c r="I24" s="19" t="n">
        <v>0</v>
      </c>
      <c r="J24" s="19" t="n">
        <v>62080</v>
      </c>
      <c r="K24" s="19" t="n">
        <v>30720</v>
      </c>
      <c r="L24" s="12" t="s">
        <v>162</v>
      </c>
      <c r="M24" s="14" t="n">
        <v>48094</v>
      </c>
    </row>
    <row r="25" customFormat="false" ht="15" hidden="false" customHeight="false" outlineLevel="0" collapsed="false">
      <c r="A25" s="11" t="n">
        <v>9000021</v>
      </c>
      <c r="B25" s="11" t="n">
        <v>5000005</v>
      </c>
      <c r="C25" s="11" t="n">
        <v>700003</v>
      </c>
      <c r="D25" s="15" t="n">
        <v>46269.4604152778</v>
      </c>
      <c r="E25" s="13" t="s">
        <v>193</v>
      </c>
      <c r="F25" s="19" t="n">
        <v>210000</v>
      </c>
      <c r="G25" s="19" t="n">
        <v>408</v>
      </c>
      <c r="H25" s="19" t="n">
        <v>209592</v>
      </c>
      <c r="I25" s="19" t="n">
        <v>14671</v>
      </c>
      <c r="J25" s="19" t="n">
        <v>196568</v>
      </c>
      <c r="K25" s="19" t="n">
        <v>14671</v>
      </c>
      <c r="L25" s="12" t="s">
        <v>160</v>
      </c>
      <c r="M25" s="14" t="n">
        <v>48095</v>
      </c>
    </row>
    <row r="26" customFormat="false" ht="15" hidden="false" customHeight="false" outlineLevel="0" collapsed="false">
      <c r="A26" s="11" t="n">
        <v>9000022</v>
      </c>
      <c r="B26" s="11" t="n">
        <v>5000007</v>
      </c>
      <c r="C26" s="11" t="n">
        <v>700002</v>
      </c>
      <c r="D26" s="15" t="n">
        <v>46270.5697586806</v>
      </c>
      <c r="E26" s="13" t="s">
        <v>192</v>
      </c>
      <c r="F26" s="19" t="n">
        <v>30000</v>
      </c>
      <c r="G26" s="19" t="n">
        <v>1500</v>
      </c>
      <c r="H26" s="19" t="n">
        <v>28500</v>
      </c>
      <c r="I26" s="19" t="n">
        <v>2850</v>
      </c>
      <c r="J26" s="19" t="n">
        <v>56500</v>
      </c>
      <c r="K26" s="19" t="n">
        <v>2850</v>
      </c>
      <c r="L26" s="12" t="s">
        <v>162</v>
      </c>
      <c r="M26" s="14" t="n">
        <v>48096</v>
      </c>
    </row>
    <row r="27" customFormat="false" ht="15" hidden="false" customHeight="false" outlineLevel="0" collapsed="false">
      <c r="A27" s="11" t="n">
        <v>9000023</v>
      </c>
      <c r="B27" s="11" t="n">
        <v>5000011</v>
      </c>
      <c r="C27" s="11" t="n">
        <v>700007</v>
      </c>
      <c r="D27" s="15" t="n">
        <v>46270.7986418982</v>
      </c>
      <c r="E27" s="13" t="s">
        <v>192</v>
      </c>
      <c r="F27" s="19" t="n">
        <v>35000</v>
      </c>
      <c r="G27" s="19" t="n">
        <v>1443</v>
      </c>
      <c r="H27" s="19" t="n">
        <v>33557</v>
      </c>
      <c r="I27" s="19" t="n">
        <v>2684</v>
      </c>
      <c r="J27" s="19" t="n">
        <v>136403</v>
      </c>
      <c r="K27" s="19" t="n">
        <v>2684</v>
      </c>
      <c r="L27" s="12" t="s">
        <v>160</v>
      </c>
      <c r="M27" s="14" t="n">
        <v>48096</v>
      </c>
    </row>
    <row r="28" customFormat="false" ht="15" hidden="false" customHeight="false" outlineLevel="0" collapsed="false">
      <c r="A28" s="11" t="n">
        <v>9000024</v>
      </c>
      <c r="B28" s="11" t="n">
        <v>5000005</v>
      </c>
      <c r="C28" s="11" t="n">
        <v>700003</v>
      </c>
      <c r="D28" s="15" t="n">
        <v>46271.3854597222</v>
      </c>
      <c r="E28" s="13" t="s">
        <v>194</v>
      </c>
      <c r="F28" s="19" t="n">
        <v>-210000</v>
      </c>
      <c r="G28" s="19" t="n">
        <v>-408</v>
      </c>
      <c r="H28" s="19" t="n">
        <v>-209592</v>
      </c>
      <c r="I28" s="19" t="n">
        <v>-14671</v>
      </c>
      <c r="J28" s="19" t="n">
        <v>406160</v>
      </c>
      <c r="K28" s="19" t="n">
        <v>408</v>
      </c>
      <c r="L28" s="12" t="s">
        <v>160</v>
      </c>
      <c r="M28" s="14" t="n">
        <v>48097</v>
      </c>
    </row>
    <row r="30" customFormat="false" ht="15" hidden="false" customHeight="false" outlineLevel="0" collapsed="false">
      <c r="A30" s="2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5" min="3" style="0" width="18"/>
    <col collapsed="false" customWidth="true" hidden="false" outlineLevel="0" max="6" min="6" style="0" width="22"/>
  </cols>
  <sheetData>
    <row r="1" customFormat="false" ht="20.1" hidden="false" customHeight="false" outlineLevel="0" collapsed="false">
      <c r="A1" s="7" t="s">
        <v>196</v>
      </c>
    </row>
    <row r="3" customFormat="false" ht="15" hidden="false" customHeight="false" outlineLevel="0" collapsed="false">
      <c r="A3" s="8" t="s">
        <v>110</v>
      </c>
      <c r="B3" s="8" t="s">
        <v>197</v>
      </c>
      <c r="C3" s="8" t="s">
        <v>198</v>
      </c>
      <c r="D3" s="8" t="s">
        <v>199</v>
      </c>
      <c r="E3" s="8" t="s">
        <v>200</v>
      </c>
      <c r="F3" s="8" t="s">
        <v>201</v>
      </c>
    </row>
    <row r="4" customFormat="false" ht="30" hidden="false" customHeight="true" outlineLevel="0" collapsed="false">
      <c r="A4" s="9" t="s">
        <v>202</v>
      </c>
      <c r="B4" s="9" t="s">
        <v>203</v>
      </c>
      <c r="C4" s="10" t="s">
        <v>204</v>
      </c>
      <c r="D4" s="10" t="s">
        <v>205</v>
      </c>
      <c r="E4" s="10" t="s">
        <v>206</v>
      </c>
      <c r="F4" s="10" t="s">
        <v>207</v>
      </c>
    </row>
    <row r="5" customFormat="false" ht="15" hidden="false" customHeight="false" outlineLevel="0" collapsed="false">
      <c r="A5" s="11" t="s">
        <v>120</v>
      </c>
      <c r="B5" s="11" t="s">
        <v>208</v>
      </c>
      <c r="C5" s="19" t="n">
        <v>3000000000</v>
      </c>
      <c r="D5" s="19" t="n">
        <v>16849</v>
      </c>
      <c r="E5" s="19" t="n">
        <v>2999983151</v>
      </c>
      <c r="F5" s="15" t="n">
        <v>46270.5697586806</v>
      </c>
    </row>
    <row r="6" customFormat="false" ht="15" hidden="false" customHeight="false" outlineLevel="0" collapsed="false">
      <c r="A6" s="11" t="s">
        <v>124</v>
      </c>
      <c r="B6" s="11" t="s">
        <v>208</v>
      </c>
      <c r="C6" s="19" t="n">
        <v>1000000000</v>
      </c>
      <c r="D6" s="19" t="n">
        <v>42200</v>
      </c>
      <c r="E6" s="19" t="n">
        <v>999957800</v>
      </c>
      <c r="F6" s="15" t="n">
        <v>46268.5143672454</v>
      </c>
    </row>
    <row r="7" customFormat="false" ht="15" hidden="false" customHeight="false" outlineLevel="0" collapsed="false">
      <c r="A7" s="11" t="s">
        <v>126</v>
      </c>
      <c r="B7" s="11" t="s">
        <v>208</v>
      </c>
      <c r="C7" s="19" t="n">
        <v>600000000</v>
      </c>
      <c r="D7" s="19" t="n">
        <v>12287</v>
      </c>
      <c r="E7" s="19" t="n">
        <v>599987713</v>
      </c>
      <c r="F7" s="15" t="n">
        <v>46270.7986418982</v>
      </c>
    </row>
    <row r="8" customFormat="false" ht="15" hidden="false" customHeight="false" outlineLevel="0" collapsed="false">
      <c r="A8" s="11" t="s">
        <v>122</v>
      </c>
      <c r="B8" s="11" t="s">
        <v>208</v>
      </c>
      <c r="C8" s="19" t="n">
        <v>800000000</v>
      </c>
      <c r="D8" s="19" t="n">
        <v>18468</v>
      </c>
      <c r="E8" s="19" t="n">
        <v>799981532</v>
      </c>
      <c r="F8" s="15" t="n">
        <v>46271.3854597222</v>
      </c>
    </row>
    <row r="10" customFormat="false" ht="15" hidden="false" customHeight="false" outlineLevel="0" collapsed="false">
      <c r="A10" s="16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1" min="10" style="0" width="13"/>
  </cols>
  <sheetData>
    <row r="1" customFormat="false" ht="20.1" hidden="false" customHeight="false" outlineLevel="0" collapsed="false">
      <c r="A1" s="7" t="s">
        <v>210</v>
      </c>
    </row>
    <row r="3" customFormat="false" ht="23.85" hidden="false" customHeight="false" outlineLevel="0" collapsed="false">
      <c r="A3" s="8" t="s">
        <v>211</v>
      </c>
      <c r="B3" s="8" t="s">
        <v>110</v>
      </c>
      <c r="C3" s="8" t="s">
        <v>197</v>
      </c>
      <c r="D3" s="8" t="s">
        <v>212</v>
      </c>
      <c r="E3" s="8" t="s">
        <v>213</v>
      </c>
      <c r="F3" s="8" t="s">
        <v>214</v>
      </c>
      <c r="G3" s="8" t="s">
        <v>215</v>
      </c>
      <c r="H3" s="8" t="s">
        <v>216</v>
      </c>
      <c r="I3" s="8" t="s">
        <v>70</v>
      </c>
      <c r="J3" s="8" t="s">
        <v>217</v>
      </c>
      <c r="K3" s="8" t="s">
        <v>218</v>
      </c>
    </row>
    <row r="4" customFormat="false" ht="30" hidden="false" customHeight="true" outlineLevel="0" collapsed="false">
      <c r="A4" s="9" t="s">
        <v>219</v>
      </c>
      <c r="B4" s="17" t="s">
        <v>220</v>
      </c>
      <c r="C4" s="17" t="s">
        <v>221</v>
      </c>
      <c r="D4" s="10" t="s">
        <v>222</v>
      </c>
      <c r="E4" s="10" t="s">
        <v>223</v>
      </c>
      <c r="F4" s="10" t="s">
        <v>224</v>
      </c>
      <c r="G4" s="10" t="s">
        <v>225</v>
      </c>
      <c r="H4" s="10" t="s">
        <v>226</v>
      </c>
      <c r="I4" s="10" t="s">
        <v>227</v>
      </c>
      <c r="J4" s="10" t="s">
        <v>228</v>
      </c>
      <c r="K4" s="10" t="s">
        <v>229</v>
      </c>
    </row>
    <row r="5" customFormat="false" ht="15" hidden="false" customHeight="false" outlineLevel="0" collapsed="false">
      <c r="A5" s="11" t="n">
        <v>9001</v>
      </c>
      <c r="B5" s="11" t="s">
        <v>120</v>
      </c>
      <c r="C5" s="11" t="s">
        <v>208</v>
      </c>
      <c r="D5" s="12" t="s">
        <v>230</v>
      </c>
      <c r="E5" s="19" t="n">
        <v>50000</v>
      </c>
      <c r="F5" s="19" t="n">
        <v>3</v>
      </c>
      <c r="G5" s="19" t="n">
        <v>500000</v>
      </c>
      <c r="H5" s="19" t="n">
        <v>50000</v>
      </c>
      <c r="I5" s="13" t="s">
        <v>231</v>
      </c>
      <c r="J5" s="14" t="n">
        <v>46023</v>
      </c>
      <c r="K5" s="14" t="n">
        <v>46387</v>
      </c>
    </row>
    <row r="6" customFormat="false" ht="15" hidden="false" customHeight="false" outlineLevel="0" collapsed="false">
      <c r="A6" s="11" t="n">
        <v>9002</v>
      </c>
      <c r="B6" s="11" t="s">
        <v>124</v>
      </c>
      <c r="C6" s="11" t="s">
        <v>208</v>
      </c>
      <c r="D6" s="12" t="s">
        <v>232</v>
      </c>
      <c r="E6" s="19" t="n">
        <v>20000</v>
      </c>
      <c r="F6" s="19" t="n">
        <v>2</v>
      </c>
      <c r="G6" s="19" t="n">
        <v>400000</v>
      </c>
      <c r="H6" s="19" t="n">
        <v>40000</v>
      </c>
      <c r="I6" s="13" t="s">
        <v>233</v>
      </c>
      <c r="J6" s="14" t="n">
        <v>46082</v>
      </c>
      <c r="K6" s="14" t="n">
        <v>46295</v>
      </c>
    </row>
    <row r="7" customFormat="false" ht="15" hidden="false" customHeight="false" outlineLevel="0" collapsed="false">
      <c r="A7" s="11" t="n">
        <v>9003</v>
      </c>
      <c r="B7" s="11" t="s">
        <v>126</v>
      </c>
      <c r="C7" s="11" t="s">
        <v>208</v>
      </c>
      <c r="D7" s="12" t="s">
        <v>234</v>
      </c>
      <c r="E7" s="19" t="n">
        <v>12000</v>
      </c>
      <c r="F7" s="19" t="n">
        <v>2</v>
      </c>
      <c r="G7" s="19" t="n">
        <v>600000</v>
      </c>
      <c r="H7" s="19" t="n">
        <v>45000</v>
      </c>
      <c r="I7" s="13" t="s">
        <v>231</v>
      </c>
      <c r="J7" s="14" t="n">
        <v>46023</v>
      </c>
      <c r="K7" s="14" t="n">
        <v>46387</v>
      </c>
    </row>
    <row r="8" customFormat="false" ht="15" hidden="false" customHeight="false" outlineLevel="0" collapsed="false">
      <c r="A8" s="11" t="n">
        <v>9004</v>
      </c>
      <c r="B8" s="11" t="s">
        <v>122</v>
      </c>
      <c r="C8" s="11" t="s">
        <v>208</v>
      </c>
      <c r="D8" s="12" t="s">
        <v>235</v>
      </c>
      <c r="E8" s="19" t="n">
        <v>15000</v>
      </c>
      <c r="F8" s="19" t="n">
        <v>3</v>
      </c>
      <c r="G8" s="19" t="n">
        <v>700000</v>
      </c>
      <c r="H8" s="19" t="n">
        <v>49000</v>
      </c>
      <c r="I8" s="13" t="s">
        <v>231</v>
      </c>
      <c r="J8" s="14" t="n">
        <v>46023</v>
      </c>
      <c r="K8" s="14" t="n">
        <v>46387</v>
      </c>
    </row>
    <row r="10" customFormat="false" ht="15" hidden="false" customHeight="false" outlineLevel="0" collapsed="false">
      <c r="A10" s="20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20.1" hidden="false" customHeight="false" outlineLevel="0" collapsed="false">
      <c r="A1" s="7" t="s">
        <v>237</v>
      </c>
    </row>
    <row r="3" customFormat="false" ht="15" hidden="false" customHeight="false" outlineLevel="0" collapsed="false">
      <c r="A3" s="8" t="s">
        <v>238</v>
      </c>
      <c r="B3" s="8" t="s">
        <v>211</v>
      </c>
      <c r="C3" s="8" t="s">
        <v>66</v>
      </c>
      <c r="D3" s="8" t="s">
        <v>239</v>
      </c>
      <c r="E3" s="8" t="s">
        <v>240</v>
      </c>
    </row>
    <row r="4" customFormat="false" ht="30" hidden="false" customHeight="true" outlineLevel="0" collapsed="false">
      <c r="A4" s="9" t="s">
        <v>241</v>
      </c>
      <c r="B4" s="17" t="s">
        <v>242</v>
      </c>
      <c r="C4" s="17" t="s">
        <v>114</v>
      </c>
      <c r="D4" s="10" t="s">
        <v>243</v>
      </c>
      <c r="E4" s="10" t="s">
        <v>244</v>
      </c>
    </row>
    <row r="5" customFormat="false" ht="15" hidden="false" customHeight="false" outlineLevel="0" collapsed="false">
      <c r="A5" s="11" t="n">
        <v>1</v>
      </c>
      <c r="B5" s="11" t="n">
        <v>9001</v>
      </c>
      <c r="C5" s="11" t="n">
        <v>100001</v>
      </c>
      <c r="D5" s="13" t="s">
        <v>192</v>
      </c>
      <c r="E5" s="15" t="n">
        <v>46027.3928240741</v>
      </c>
    </row>
    <row r="6" customFormat="false" ht="15" hidden="false" customHeight="false" outlineLevel="0" collapsed="false">
      <c r="A6" s="11" t="n">
        <v>2</v>
      </c>
      <c r="B6" s="11" t="n">
        <v>9004</v>
      </c>
      <c r="C6" s="11" t="n">
        <v>100001</v>
      </c>
      <c r="D6" s="13" t="s">
        <v>192</v>
      </c>
      <c r="E6" s="15" t="n">
        <v>46156.5730324074</v>
      </c>
    </row>
    <row r="7" customFormat="false" ht="15" hidden="false" customHeight="false" outlineLevel="0" collapsed="false">
      <c r="A7" s="11" t="n">
        <v>3</v>
      </c>
      <c r="B7" s="11" t="n">
        <v>9001</v>
      </c>
      <c r="C7" s="11" t="n">
        <v>100002</v>
      </c>
      <c r="D7" s="13" t="s">
        <v>192</v>
      </c>
      <c r="E7" s="15" t="n">
        <v>46029.5937731482</v>
      </c>
    </row>
    <row r="8" customFormat="false" ht="15" hidden="false" customHeight="false" outlineLevel="0" collapsed="false">
      <c r="A8" s="11" t="n">
        <v>4</v>
      </c>
      <c r="B8" s="11" t="n">
        <v>9002</v>
      </c>
      <c r="C8" s="11" t="n">
        <v>100002</v>
      </c>
      <c r="D8" s="13" t="s">
        <v>192</v>
      </c>
      <c r="E8" s="15" t="n">
        <v>46121.7714699074</v>
      </c>
    </row>
    <row r="9" customFormat="false" ht="15" hidden="false" customHeight="false" outlineLevel="0" collapsed="false">
      <c r="A9" s="11" t="n">
        <v>5</v>
      </c>
      <c r="B9" s="11" t="n">
        <v>9004</v>
      </c>
      <c r="C9" s="11" t="n">
        <v>100003</v>
      </c>
      <c r="D9" s="13" t="s">
        <v>192</v>
      </c>
      <c r="E9" s="15" t="n">
        <v>46064.4552199074</v>
      </c>
    </row>
    <row r="10" customFormat="false" ht="15" hidden="false" customHeight="false" outlineLevel="0" collapsed="false">
      <c r="A10" s="11" t="n">
        <v>6</v>
      </c>
      <c r="B10" s="11" t="n">
        <v>9002</v>
      </c>
      <c r="C10" s="11" t="n">
        <v>100004</v>
      </c>
      <c r="D10" s="13" t="s">
        <v>192</v>
      </c>
      <c r="E10" s="15" t="n">
        <v>46083.8230555556</v>
      </c>
    </row>
    <row r="11" customFormat="false" ht="15" hidden="false" customHeight="false" outlineLevel="0" collapsed="false">
      <c r="A11" s="11" t="n">
        <v>7</v>
      </c>
      <c r="B11" s="11" t="n">
        <v>9003</v>
      </c>
      <c r="C11" s="11" t="n">
        <v>100004</v>
      </c>
      <c r="D11" s="13" t="s">
        <v>192</v>
      </c>
      <c r="E11" s="15" t="n">
        <v>46218.646087963</v>
      </c>
    </row>
    <row r="12" customFormat="false" ht="15" hidden="false" customHeight="false" outlineLevel="0" collapsed="false">
      <c r="A12" s="11" t="n">
        <v>8</v>
      </c>
      <c r="B12" s="11" t="n">
        <v>9001</v>
      </c>
      <c r="C12" s="11" t="n">
        <v>100005</v>
      </c>
      <c r="D12" s="13" t="s">
        <v>192</v>
      </c>
      <c r="E12" s="15" t="n">
        <v>46099.3473032407</v>
      </c>
    </row>
    <row r="13" customFormat="false" ht="15" hidden="false" customHeight="false" outlineLevel="0" collapsed="false">
      <c r="A13" s="11" t="n">
        <v>9</v>
      </c>
      <c r="B13" s="11" t="n">
        <v>9003</v>
      </c>
      <c r="C13" s="11" t="n">
        <v>100005</v>
      </c>
      <c r="D13" s="13" t="s">
        <v>192</v>
      </c>
      <c r="E13" s="15" t="n">
        <v>46175.427650463</v>
      </c>
    </row>
    <row r="14" customFormat="false" ht="15" hidden="false" customHeight="false" outlineLevel="0" collapsed="false">
      <c r="A14" s="11" t="n">
        <v>10</v>
      </c>
      <c r="B14" s="11" t="n">
        <v>9003</v>
      </c>
      <c r="C14" s="11" t="n">
        <v>100006</v>
      </c>
      <c r="D14" s="13" t="s">
        <v>245</v>
      </c>
      <c r="E14" s="15" t="n">
        <v>46113.4863194445</v>
      </c>
    </row>
    <row r="15" customFormat="false" ht="15" hidden="false" customHeight="false" outlineLevel="0" collapsed="false">
      <c r="A15" s="11" t="n">
        <v>11</v>
      </c>
      <c r="B15" s="11" t="n">
        <v>9004</v>
      </c>
      <c r="C15" s="11" t="n">
        <v>100007</v>
      </c>
      <c r="D15" s="13" t="s">
        <v>192</v>
      </c>
      <c r="E15" s="15" t="n">
        <v>46042.684537037</v>
      </c>
    </row>
    <row r="16" customFormat="false" ht="15" hidden="false" customHeight="false" outlineLevel="0" collapsed="false">
      <c r="A16" s="11" t="n">
        <v>12</v>
      </c>
      <c r="B16" s="11" t="n">
        <v>9001</v>
      </c>
      <c r="C16" s="11" t="n">
        <v>100008</v>
      </c>
      <c r="D16" s="13" t="s">
        <v>246</v>
      </c>
      <c r="E16" s="15" t="n">
        <v>46266.3406365741</v>
      </c>
    </row>
    <row r="18" customFormat="false" ht="15" hidden="false" customHeight="false" outlineLevel="0" collapsed="false">
      <c r="A18" s="16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20"/>
    <col collapsed="false" customWidth="true" hidden="false" outlineLevel="0" max="6" min="6" style="0" width="22"/>
  </cols>
  <sheetData>
    <row r="1" customFormat="false" ht="20.1" hidden="false" customHeight="false" outlineLevel="0" collapsed="false">
      <c r="A1" s="7" t="s">
        <v>248</v>
      </c>
    </row>
    <row r="3" customFormat="false" ht="23.85" hidden="false" customHeight="false" outlineLevel="0" collapsed="false">
      <c r="A3" s="8" t="s">
        <v>249</v>
      </c>
      <c r="B3" s="8" t="s">
        <v>66</v>
      </c>
      <c r="C3" s="8" t="s">
        <v>250</v>
      </c>
      <c r="D3" s="8" t="s">
        <v>251</v>
      </c>
      <c r="E3" s="8" t="s">
        <v>252</v>
      </c>
      <c r="F3" s="8" t="s">
        <v>201</v>
      </c>
    </row>
    <row r="4" customFormat="false" ht="30" hidden="false" customHeight="true" outlineLevel="0" collapsed="false">
      <c r="A4" s="9" t="s">
        <v>253</v>
      </c>
      <c r="B4" s="17" t="s">
        <v>114</v>
      </c>
      <c r="C4" s="10" t="s">
        <v>254</v>
      </c>
      <c r="D4" s="10" t="s">
        <v>255</v>
      </c>
      <c r="E4" s="10" t="s">
        <v>256</v>
      </c>
      <c r="F4" s="10" t="s">
        <v>207</v>
      </c>
    </row>
    <row r="5" customFormat="false" ht="15" hidden="false" customHeight="false" outlineLevel="0" collapsed="false">
      <c r="A5" s="11" t="n">
        <v>4000001</v>
      </c>
      <c r="B5" s="11" t="n">
        <v>100001</v>
      </c>
      <c r="C5" s="12" t="s">
        <v>257</v>
      </c>
      <c r="D5" s="19" t="n">
        <v>195000</v>
      </c>
      <c r="E5" s="19" t="n">
        <v>14642</v>
      </c>
      <c r="F5" s="15" t="n">
        <v>46260.555425</v>
      </c>
    </row>
    <row r="6" customFormat="false" ht="15" hidden="false" customHeight="false" outlineLevel="0" collapsed="false">
      <c r="A6" s="11" t="n">
        <v>4000002</v>
      </c>
      <c r="B6" s="11" t="n">
        <v>100001</v>
      </c>
      <c r="C6" s="12" t="s">
        <v>258</v>
      </c>
      <c r="D6" s="19" t="n">
        <v>46000</v>
      </c>
      <c r="E6" s="19" t="n">
        <v>4543</v>
      </c>
      <c r="F6" s="15" t="n">
        <v>46267.5025945602</v>
      </c>
    </row>
    <row r="7" customFormat="false" ht="15" hidden="false" customHeight="false" outlineLevel="0" collapsed="false">
      <c r="A7" s="11" t="n">
        <v>4000003</v>
      </c>
      <c r="B7" s="11" t="n">
        <v>100002</v>
      </c>
      <c r="C7" s="12" t="s">
        <v>257</v>
      </c>
      <c r="D7" s="19" t="n">
        <v>67000</v>
      </c>
      <c r="E7" s="19" t="n">
        <v>7260</v>
      </c>
      <c r="F7" s="15" t="n">
        <v>46255.535072338</v>
      </c>
    </row>
    <row r="8" customFormat="false" ht="15" hidden="false" customHeight="false" outlineLevel="0" collapsed="false">
      <c r="A8" s="11" t="n">
        <v>4000004</v>
      </c>
      <c r="B8" s="11" t="n">
        <v>100002</v>
      </c>
      <c r="C8" s="12" t="s">
        <v>258</v>
      </c>
      <c r="D8" s="19" t="n">
        <v>18000</v>
      </c>
      <c r="E8" s="19" t="n">
        <v>1954</v>
      </c>
      <c r="F8" s="15" t="n">
        <v>46268.8224690972</v>
      </c>
    </row>
    <row r="9" customFormat="false" ht="15" hidden="false" customHeight="false" outlineLevel="0" collapsed="false">
      <c r="A9" s="11" t="n">
        <v>4000005</v>
      </c>
      <c r="B9" s="11" t="n">
        <v>100003</v>
      </c>
      <c r="C9" s="12" t="s">
        <v>257</v>
      </c>
      <c r="D9" s="19" t="n">
        <v>100000</v>
      </c>
      <c r="E9" s="19" t="n">
        <v>6568</v>
      </c>
      <c r="F9" s="15" t="n">
        <v>46256.7715510417</v>
      </c>
    </row>
    <row r="10" customFormat="false" ht="15" hidden="false" customHeight="false" outlineLevel="0" collapsed="false">
      <c r="A10" s="11" t="n">
        <v>4000006</v>
      </c>
      <c r="B10" s="11" t="n">
        <v>100003</v>
      </c>
      <c r="C10" s="12" t="s">
        <v>258</v>
      </c>
      <c r="D10" s="19" t="n">
        <v>0</v>
      </c>
      <c r="E10" s="19" t="n">
        <v>0</v>
      </c>
      <c r="F10" s="15" t="n">
        <v>46271.3854597222</v>
      </c>
    </row>
    <row r="11" customFormat="false" ht="15" hidden="false" customHeight="false" outlineLevel="0" collapsed="false">
      <c r="A11" s="11" t="n">
        <v>4000007</v>
      </c>
      <c r="B11" s="11" t="n">
        <v>100004</v>
      </c>
      <c r="C11" s="12" t="s">
        <v>257</v>
      </c>
      <c r="D11" s="19" t="n">
        <v>429000</v>
      </c>
      <c r="E11" s="19" t="n">
        <v>40000</v>
      </c>
      <c r="F11" s="15" t="n">
        <v>46261.4365340278</v>
      </c>
    </row>
    <row r="12" customFormat="false" ht="15" hidden="false" customHeight="false" outlineLevel="0" collapsed="false">
      <c r="A12" s="11" t="n">
        <v>4000008</v>
      </c>
      <c r="B12" s="11" t="n">
        <v>100004</v>
      </c>
      <c r="C12" s="12" t="s">
        <v>258</v>
      </c>
      <c r="D12" s="19" t="n">
        <v>5000</v>
      </c>
      <c r="E12" s="19" t="n">
        <v>0</v>
      </c>
      <c r="F12" s="15" t="n">
        <v>46268.5143672454</v>
      </c>
    </row>
    <row r="13" customFormat="false" ht="15" hidden="false" customHeight="false" outlineLevel="0" collapsed="false">
      <c r="A13" s="11" t="n">
        <v>4000009</v>
      </c>
      <c r="B13" s="11" t="n">
        <v>100005</v>
      </c>
      <c r="C13" s="12" t="s">
        <v>257</v>
      </c>
      <c r="D13" s="19" t="n">
        <v>100000</v>
      </c>
      <c r="E13" s="19" t="n">
        <v>7903</v>
      </c>
      <c r="F13" s="15" t="n">
        <v>46252.5037023148</v>
      </c>
    </row>
    <row r="14" customFormat="false" ht="15" hidden="false" customHeight="false" outlineLevel="0" collapsed="false">
      <c r="A14" s="11" t="n">
        <v>4000010</v>
      </c>
      <c r="B14" s="11" t="n">
        <v>100005</v>
      </c>
      <c r="C14" s="12" t="s">
        <v>258</v>
      </c>
      <c r="D14" s="19" t="n">
        <v>65000</v>
      </c>
      <c r="E14" s="19" t="n">
        <v>5534</v>
      </c>
      <c r="F14" s="15" t="n">
        <v>46270.7986418982</v>
      </c>
    </row>
    <row r="15" customFormat="false" ht="15" hidden="false" customHeight="false" outlineLevel="0" collapsed="false">
      <c r="A15" s="11" t="n">
        <v>4000011</v>
      </c>
      <c r="B15" s="11" t="n">
        <v>100007</v>
      </c>
      <c r="C15" s="12" t="s">
        <v>257</v>
      </c>
      <c r="D15" s="19" t="n">
        <v>20000</v>
      </c>
      <c r="E15" s="19" t="n">
        <v>1400</v>
      </c>
      <c r="F15" s="15" t="n">
        <v>46253.4661008102</v>
      </c>
    </row>
    <row r="17" customFormat="false" ht="15" hidden="false" customHeight="false" outlineLevel="0" collapsed="false">
      <c r="A17" s="16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22"/>
  </cols>
  <sheetData>
    <row r="1" customFormat="false" ht="20.1" hidden="false" customHeight="false" outlineLevel="0" collapsed="false">
      <c r="A1" s="7" t="s">
        <v>260</v>
      </c>
    </row>
    <row r="3" customFormat="false" ht="23.85" hidden="false" customHeight="false" outlineLevel="0" collapsed="false">
      <c r="A3" s="8" t="s">
        <v>173</v>
      </c>
      <c r="B3" s="8" t="s">
        <v>261</v>
      </c>
      <c r="C3" s="8" t="s">
        <v>262</v>
      </c>
      <c r="D3" s="8" t="s">
        <v>263</v>
      </c>
      <c r="E3" s="8" t="s">
        <v>264</v>
      </c>
      <c r="F3" s="8" t="s">
        <v>70</v>
      </c>
      <c r="G3" s="8" t="s">
        <v>72</v>
      </c>
    </row>
    <row r="4" customFormat="false" ht="30" hidden="false" customHeight="true" outlineLevel="0" collapsed="false">
      <c r="A4" s="9" t="s">
        <v>265</v>
      </c>
      <c r="B4" s="10" t="s">
        <v>266</v>
      </c>
      <c r="C4" s="10" t="s">
        <v>267</v>
      </c>
      <c r="D4" s="10" t="s">
        <v>268</v>
      </c>
      <c r="E4" s="10" t="s">
        <v>269</v>
      </c>
      <c r="F4" s="10" t="s">
        <v>270</v>
      </c>
      <c r="G4" s="10" t="s">
        <v>79</v>
      </c>
    </row>
    <row r="5" customFormat="false" ht="15" hidden="false" customHeight="false" outlineLevel="0" collapsed="false">
      <c r="A5" s="11" t="n">
        <v>700001</v>
      </c>
      <c r="B5" s="12" t="s">
        <v>271</v>
      </c>
      <c r="C5" s="13" t="s">
        <v>272</v>
      </c>
      <c r="D5" s="12" t="s">
        <v>273</v>
      </c>
      <c r="E5" s="19" t="n">
        <v>420000000</v>
      </c>
      <c r="F5" s="13" t="s">
        <v>83</v>
      </c>
      <c r="G5" s="15" t="n">
        <v>46024.4166666667</v>
      </c>
    </row>
    <row r="6" customFormat="false" ht="15" hidden="false" customHeight="false" outlineLevel="0" collapsed="false">
      <c r="A6" s="11" t="n">
        <v>700002</v>
      </c>
      <c r="B6" s="12" t="s">
        <v>274</v>
      </c>
      <c r="C6" s="13" t="s">
        <v>275</v>
      </c>
      <c r="D6" s="12" t="s">
        <v>276</v>
      </c>
      <c r="E6" s="19" t="n">
        <v>1850000000</v>
      </c>
      <c r="F6" s="13" t="s">
        <v>83</v>
      </c>
      <c r="G6" s="15" t="n">
        <v>46024.4201388889</v>
      </c>
    </row>
    <row r="7" customFormat="false" ht="15" hidden="false" customHeight="false" outlineLevel="0" collapsed="false">
      <c r="A7" s="11" t="n">
        <v>700003</v>
      </c>
      <c r="B7" s="12" t="s">
        <v>277</v>
      </c>
      <c r="C7" s="13" t="s">
        <v>278</v>
      </c>
      <c r="D7" s="12" t="s">
        <v>279</v>
      </c>
      <c r="E7" s="19" t="n">
        <v>2740000000</v>
      </c>
      <c r="F7" s="13" t="s">
        <v>83</v>
      </c>
      <c r="G7" s="15" t="n">
        <v>46025.3958333333</v>
      </c>
    </row>
    <row r="8" customFormat="false" ht="15" hidden="false" customHeight="false" outlineLevel="0" collapsed="false">
      <c r="A8" s="11" t="n">
        <v>700004</v>
      </c>
      <c r="B8" s="12" t="s">
        <v>280</v>
      </c>
      <c r="C8" s="13" t="s">
        <v>281</v>
      </c>
      <c r="D8" s="12" t="s">
        <v>282</v>
      </c>
      <c r="E8" s="19" t="n">
        <v>180000000</v>
      </c>
      <c r="F8" s="13" t="s">
        <v>83</v>
      </c>
      <c r="G8" s="15" t="n">
        <v>46054.4583333333</v>
      </c>
    </row>
    <row r="9" customFormat="false" ht="15" hidden="false" customHeight="false" outlineLevel="0" collapsed="false">
      <c r="A9" s="11" t="n">
        <v>700005</v>
      </c>
      <c r="B9" s="12" t="s">
        <v>283</v>
      </c>
      <c r="C9" s="13" t="s">
        <v>284</v>
      </c>
      <c r="D9" s="12" t="s">
        <v>285</v>
      </c>
      <c r="E9" s="19" t="n">
        <v>95000000</v>
      </c>
      <c r="F9" s="13" t="s">
        <v>83</v>
      </c>
      <c r="G9" s="15" t="n">
        <v>46082.375</v>
      </c>
    </row>
    <row r="10" customFormat="false" ht="15" hidden="false" customHeight="false" outlineLevel="0" collapsed="false">
      <c r="A10" s="11" t="n">
        <v>700006</v>
      </c>
      <c r="B10" s="12" t="s">
        <v>286</v>
      </c>
      <c r="C10" s="13" t="s">
        <v>287</v>
      </c>
      <c r="D10" s="12" t="s">
        <v>279</v>
      </c>
      <c r="E10" s="19" t="n">
        <v>3920000000</v>
      </c>
      <c r="F10" s="13" t="s">
        <v>288</v>
      </c>
      <c r="G10" s="15" t="n">
        <v>46082.3819444445</v>
      </c>
    </row>
    <row r="11" customFormat="false" ht="15" hidden="false" customHeight="false" outlineLevel="0" collapsed="false">
      <c r="A11" s="11" t="n">
        <v>700007</v>
      </c>
      <c r="B11" s="12" t="s">
        <v>289</v>
      </c>
      <c r="C11" s="13" t="s">
        <v>290</v>
      </c>
      <c r="D11" s="12" t="s">
        <v>291</v>
      </c>
      <c r="E11" s="19" t="n">
        <v>760000000</v>
      </c>
      <c r="F11" s="13" t="s">
        <v>83</v>
      </c>
      <c r="G11" s="15" t="n">
        <v>46032.3611111111</v>
      </c>
    </row>
    <row r="12" customFormat="false" ht="15" hidden="false" customHeight="false" outlineLevel="0" collapsed="false">
      <c r="A12" s="11" t="n">
        <v>700008</v>
      </c>
      <c r="B12" s="12" t="s">
        <v>292</v>
      </c>
      <c r="C12" s="13" t="s">
        <v>293</v>
      </c>
      <c r="D12" s="12" t="s">
        <v>276</v>
      </c>
      <c r="E12" s="19" t="n">
        <v>1120000000</v>
      </c>
      <c r="F12" s="13" t="s">
        <v>83</v>
      </c>
      <c r="G12" s="15" t="n">
        <v>46032.3645833333</v>
      </c>
    </row>
    <row r="14" customFormat="false" ht="15" hidden="false" customHeight="false" outlineLevel="0" collapsed="false">
      <c r="A14" s="20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20.1" hidden="false" customHeight="false" outlineLevel="0" collapsed="false">
      <c r="A1" s="7" t="s">
        <v>295</v>
      </c>
    </row>
    <row r="3" customFormat="false" ht="23.85" hidden="false" customHeight="false" outlineLevel="0" collapsed="false">
      <c r="A3" s="8" t="s">
        <v>296</v>
      </c>
      <c r="B3" s="8" t="s">
        <v>297</v>
      </c>
      <c r="C3" s="8" t="s">
        <v>173</v>
      </c>
      <c r="D3" s="8" t="s">
        <v>298</v>
      </c>
      <c r="E3" s="8" t="s">
        <v>299</v>
      </c>
      <c r="F3" s="8" t="s">
        <v>300</v>
      </c>
      <c r="G3" s="8" t="s">
        <v>301</v>
      </c>
      <c r="H3" s="8" t="s">
        <v>302</v>
      </c>
    </row>
    <row r="4" customFormat="false" ht="30" hidden="false" customHeight="true" outlineLevel="0" collapsed="false">
      <c r="A4" s="9" t="s">
        <v>303</v>
      </c>
      <c r="B4" s="10" t="s">
        <v>304</v>
      </c>
      <c r="C4" s="17" t="s">
        <v>183</v>
      </c>
      <c r="D4" s="10" t="s">
        <v>305</v>
      </c>
      <c r="E4" s="10" t="s">
        <v>306</v>
      </c>
      <c r="F4" s="10" t="s">
        <v>307</v>
      </c>
      <c r="G4" s="10" t="s">
        <v>308</v>
      </c>
      <c r="H4" s="10" t="s">
        <v>309</v>
      </c>
    </row>
    <row r="5" customFormat="false" ht="15" hidden="false" customHeight="false" outlineLevel="0" collapsed="false">
      <c r="A5" s="11" t="n">
        <v>3000001</v>
      </c>
      <c r="B5" s="14" t="n">
        <v>46239</v>
      </c>
      <c r="C5" s="11" t="n">
        <v>700001</v>
      </c>
      <c r="D5" s="19" t="n">
        <v>12000</v>
      </c>
      <c r="E5" s="19" t="n">
        <v>36</v>
      </c>
      <c r="F5" s="19" t="n">
        <v>11964</v>
      </c>
      <c r="G5" s="13" t="s">
        <v>310</v>
      </c>
      <c r="H5" s="15" t="n">
        <v>46241.4583333333</v>
      </c>
    </row>
    <row r="6" customFormat="false" ht="15" hidden="false" customHeight="false" outlineLevel="0" collapsed="false">
      <c r="A6" s="11" t="n">
        <v>3000002</v>
      </c>
      <c r="B6" s="14" t="n">
        <v>46239</v>
      </c>
      <c r="C6" s="11" t="n">
        <v>700002</v>
      </c>
      <c r="D6" s="19" t="n">
        <v>34000</v>
      </c>
      <c r="E6" s="19" t="n">
        <v>102</v>
      </c>
      <c r="F6" s="19" t="n">
        <v>33898</v>
      </c>
      <c r="G6" s="13" t="s">
        <v>310</v>
      </c>
      <c r="H6" s="15" t="n">
        <v>46241.4583333333</v>
      </c>
    </row>
    <row r="7" customFormat="false" ht="15" hidden="false" customHeight="false" outlineLevel="0" collapsed="false">
      <c r="A7" s="11" t="n">
        <v>3000003</v>
      </c>
      <c r="B7" s="14" t="n">
        <v>46241</v>
      </c>
      <c r="C7" s="11" t="n">
        <v>700002</v>
      </c>
      <c r="D7" s="19" t="n">
        <v>25000</v>
      </c>
      <c r="E7" s="19" t="n">
        <v>75</v>
      </c>
      <c r="F7" s="19" t="n">
        <v>24925</v>
      </c>
      <c r="G7" s="13" t="s">
        <v>310</v>
      </c>
      <c r="H7" s="15" t="n">
        <v>46243.4583333333</v>
      </c>
    </row>
    <row r="8" customFormat="false" ht="15" hidden="false" customHeight="false" outlineLevel="0" collapsed="false">
      <c r="A8" s="11" t="n">
        <v>3000004</v>
      </c>
      <c r="B8" s="14" t="n">
        <v>46241</v>
      </c>
      <c r="C8" s="11" t="n">
        <v>700007</v>
      </c>
      <c r="D8" s="19" t="n">
        <v>62000</v>
      </c>
      <c r="E8" s="19" t="n">
        <v>186</v>
      </c>
      <c r="F8" s="19" t="n">
        <v>61814</v>
      </c>
      <c r="G8" s="13" t="s">
        <v>310</v>
      </c>
      <c r="H8" s="15" t="n">
        <v>46243.4583333333</v>
      </c>
    </row>
    <row r="9" customFormat="false" ht="15" hidden="false" customHeight="false" outlineLevel="0" collapsed="false">
      <c r="A9" s="11" t="n">
        <v>3000005</v>
      </c>
      <c r="B9" s="14" t="n">
        <v>46243</v>
      </c>
      <c r="C9" s="11" t="n">
        <v>700003</v>
      </c>
      <c r="D9" s="19" t="n">
        <v>88000</v>
      </c>
      <c r="E9" s="19" t="n">
        <v>264</v>
      </c>
      <c r="F9" s="19" t="n">
        <v>87736</v>
      </c>
      <c r="G9" s="13" t="s">
        <v>310</v>
      </c>
      <c r="H9" s="15" t="n">
        <v>46245.4583333333</v>
      </c>
    </row>
    <row r="10" customFormat="false" ht="15" hidden="false" customHeight="false" outlineLevel="0" collapsed="false">
      <c r="A10" s="11" t="n">
        <v>3000006</v>
      </c>
      <c r="B10" s="14" t="n">
        <v>46245</v>
      </c>
      <c r="C10" s="11" t="n">
        <v>700005</v>
      </c>
      <c r="D10" s="19" t="n">
        <v>9000</v>
      </c>
      <c r="E10" s="19" t="n">
        <v>27</v>
      </c>
      <c r="F10" s="19" t="n">
        <v>8973</v>
      </c>
      <c r="G10" s="13" t="s">
        <v>310</v>
      </c>
      <c r="H10" s="15" t="n">
        <v>46247.4583333333</v>
      </c>
    </row>
    <row r="11" customFormat="false" ht="15" hidden="false" customHeight="false" outlineLevel="0" collapsed="false">
      <c r="A11" s="11" t="n">
        <v>3000007</v>
      </c>
      <c r="B11" s="14" t="n">
        <v>46246</v>
      </c>
      <c r="C11" s="11" t="n">
        <v>700001</v>
      </c>
      <c r="D11" s="19" t="n">
        <v>8000</v>
      </c>
      <c r="E11" s="19" t="n">
        <v>24</v>
      </c>
      <c r="F11" s="19" t="n">
        <v>7976</v>
      </c>
      <c r="G11" s="13" t="s">
        <v>310</v>
      </c>
      <c r="H11" s="15" t="n">
        <v>46248.4583333333</v>
      </c>
    </row>
    <row r="12" customFormat="false" ht="15" hidden="false" customHeight="false" outlineLevel="0" collapsed="false">
      <c r="A12" s="11" t="n">
        <v>3000008</v>
      </c>
      <c r="B12" s="14" t="n">
        <v>46248</v>
      </c>
      <c r="C12" s="11" t="n">
        <v>700001</v>
      </c>
      <c r="D12" s="19" t="n">
        <v>15000</v>
      </c>
      <c r="E12" s="19" t="n">
        <v>45</v>
      </c>
      <c r="F12" s="19" t="n">
        <v>14955</v>
      </c>
      <c r="G12" s="13" t="s">
        <v>310</v>
      </c>
      <c r="H12" s="15" t="n">
        <v>46250.4583333333</v>
      </c>
    </row>
    <row r="13" customFormat="false" ht="15" hidden="false" customHeight="false" outlineLevel="0" collapsed="false">
      <c r="A13" s="11" t="n">
        <v>3000009</v>
      </c>
      <c r="B13" s="14" t="n">
        <v>46249</v>
      </c>
      <c r="C13" s="11" t="n">
        <v>700001</v>
      </c>
      <c r="D13" s="19" t="n">
        <v>22000</v>
      </c>
      <c r="E13" s="19" t="n">
        <v>66</v>
      </c>
      <c r="F13" s="19" t="n">
        <v>21934</v>
      </c>
      <c r="G13" s="13" t="s">
        <v>310</v>
      </c>
      <c r="H13" s="15" t="n">
        <v>46251.4583333333</v>
      </c>
    </row>
    <row r="14" customFormat="false" ht="15" hidden="false" customHeight="false" outlineLevel="0" collapsed="false">
      <c r="A14" s="11" t="n">
        <v>3000010</v>
      </c>
      <c r="B14" s="14" t="n">
        <v>46250</v>
      </c>
      <c r="C14" s="11" t="n">
        <v>700002</v>
      </c>
      <c r="D14" s="19" t="n">
        <v>-34000</v>
      </c>
      <c r="E14" s="19" t="n">
        <v>-102</v>
      </c>
      <c r="F14" s="19" t="n">
        <v>-33898</v>
      </c>
      <c r="G14" s="13" t="s">
        <v>310</v>
      </c>
      <c r="H14" s="15" t="n">
        <v>46252.4583333333</v>
      </c>
    </row>
    <row r="15" customFormat="false" ht="15" hidden="false" customHeight="false" outlineLevel="0" collapsed="false">
      <c r="A15" s="11" t="n">
        <v>3000011</v>
      </c>
      <c r="B15" s="14" t="n">
        <v>46252</v>
      </c>
      <c r="C15" s="11" t="n">
        <v>700008</v>
      </c>
      <c r="D15" s="19" t="n">
        <v>23000</v>
      </c>
      <c r="E15" s="19" t="n">
        <v>69</v>
      </c>
      <c r="F15" s="19" t="n">
        <v>22931</v>
      </c>
      <c r="G15" s="13" t="s">
        <v>310</v>
      </c>
      <c r="H15" s="15" t="n">
        <v>46254.4583333333</v>
      </c>
    </row>
    <row r="16" customFormat="false" ht="15" hidden="false" customHeight="false" outlineLevel="0" collapsed="false">
      <c r="A16" s="11" t="n">
        <v>3000012</v>
      </c>
      <c r="B16" s="14" t="n">
        <v>46253</v>
      </c>
      <c r="C16" s="11" t="n">
        <v>700004</v>
      </c>
      <c r="D16" s="19" t="n">
        <v>20000</v>
      </c>
      <c r="E16" s="19" t="n">
        <v>60</v>
      </c>
      <c r="F16" s="19" t="n">
        <v>19940</v>
      </c>
      <c r="G16" s="13" t="s">
        <v>310</v>
      </c>
      <c r="H16" s="15" t="n">
        <v>46255.4583333333</v>
      </c>
    </row>
    <row r="17" customFormat="false" ht="15" hidden="false" customHeight="false" outlineLevel="0" collapsed="false">
      <c r="A17" s="11" t="n">
        <v>3000013</v>
      </c>
      <c r="B17" s="14" t="n">
        <v>46255</v>
      </c>
      <c r="C17" s="11" t="n">
        <v>700005</v>
      </c>
      <c r="D17" s="19" t="n">
        <v>45000</v>
      </c>
      <c r="E17" s="19" t="n">
        <v>135</v>
      </c>
      <c r="F17" s="19" t="n">
        <v>44865</v>
      </c>
      <c r="G17" s="13" t="s">
        <v>310</v>
      </c>
      <c r="H17" s="15" t="n">
        <v>46257.4583333333</v>
      </c>
    </row>
    <row r="18" customFormat="false" ht="15" hidden="false" customHeight="false" outlineLevel="0" collapsed="false">
      <c r="A18" s="11" t="n">
        <v>3000014</v>
      </c>
      <c r="B18" s="14" t="n">
        <v>46256</v>
      </c>
      <c r="C18" s="11" t="n">
        <v>700004</v>
      </c>
      <c r="D18" s="19" t="n">
        <v>12000</v>
      </c>
      <c r="E18" s="19" t="n">
        <v>36</v>
      </c>
      <c r="F18" s="19" t="n">
        <v>11964</v>
      </c>
      <c r="G18" s="13" t="s">
        <v>310</v>
      </c>
      <c r="H18" s="15" t="n">
        <v>46258.4583333333</v>
      </c>
    </row>
    <row r="19" customFormat="false" ht="15" hidden="false" customHeight="false" outlineLevel="0" collapsed="false">
      <c r="A19" s="11" t="n">
        <v>3000015</v>
      </c>
      <c r="B19" s="14" t="n">
        <v>46259</v>
      </c>
      <c r="C19" s="11" t="n">
        <v>700007</v>
      </c>
      <c r="D19" s="19" t="n">
        <v>40000</v>
      </c>
      <c r="E19" s="19" t="n">
        <v>120</v>
      </c>
      <c r="F19" s="19" t="n">
        <v>39880</v>
      </c>
      <c r="G19" s="13" t="s">
        <v>310</v>
      </c>
      <c r="H19" s="15" t="n">
        <v>46261.4583333333</v>
      </c>
    </row>
    <row r="20" customFormat="false" ht="15" hidden="false" customHeight="false" outlineLevel="0" collapsed="false">
      <c r="A20" s="11" t="n">
        <v>3000016</v>
      </c>
      <c r="B20" s="14" t="n">
        <v>46260</v>
      </c>
      <c r="C20" s="11" t="n">
        <v>700003</v>
      </c>
      <c r="D20" s="19" t="n">
        <v>150000</v>
      </c>
      <c r="E20" s="19" t="n">
        <v>450</v>
      </c>
      <c r="F20" s="19" t="n">
        <v>149550</v>
      </c>
      <c r="G20" s="13" t="s">
        <v>310</v>
      </c>
      <c r="H20" s="15" t="n">
        <v>46262.4583333333</v>
      </c>
    </row>
    <row r="21" customFormat="false" ht="15" hidden="false" customHeight="false" outlineLevel="0" collapsed="false">
      <c r="A21" s="11" t="n">
        <v>3000017</v>
      </c>
      <c r="B21" s="14" t="n">
        <v>46261</v>
      </c>
      <c r="C21" s="11" t="n">
        <v>700005</v>
      </c>
      <c r="D21" s="19" t="n">
        <v>380000</v>
      </c>
      <c r="E21" s="19" t="n">
        <v>1140</v>
      </c>
      <c r="F21" s="19" t="n">
        <v>378860</v>
      </c>
      <c r="G21" s="13" t="s">
        <v>310</v>
      </c>
      <c r="H21" s="15" t="n">
        <v>46263.4583333333</v>
      </c>
    </row>
    <row r="22" customFormat="false" ht="15" hidden="false" customHeight="false" outlineLevel="0" collapsed="false">
      <c r="A22" s="11" t="n">
        <v>3000018</v>
      </c>
      <c r="B22" s="14" t="n">
        <v>46267</v>
      </c>
      <c r="C22" s="11" t="n">
        <v>700002</v>
      </c>
      <c r="D22" s="19" t="n">
        <v>46000</v>
      </c>
      <c r="E22" s="19" t="n">
        <v>138</v>
      </c>
      <c r="F22" s="19" t="n">
        <v>45862</v>
      </c>
      <c r="G22" s="13" t="s">
        <v>310</v>
      </c>
      <c r="H22" s="15" t="n">
        <v>46269.4583333333</v>
      </c>
    </row>
    <row r="23" customFormat="false" ht="15" hidden="false" customHeight="false" outlineLevel="0" collapsed="false">
      <c r="A23" s="11" t="n">
        <v>3000019</v>
      </c>
      <c r="B23" s="14" t="n">
        <v>46268</v>
      </c>
      <c r="C23" s="11" t="n">
        <v>700001</v>
      </c>
      <c r="D23" s="19" t="n">
        <v>18000</v>
      </c>
      <c r="E23" s="19" t="n">
        <v>54</v>
      </c>
      <c r="F23" s="19" t="n">
        <v>17946</v>
      </c>
      <c r="G23" s="13" t="s">
        <v>310</v>
      </c>
      <c r="H23" s="15" t="n">
        <v>46270.4583333333</v>
      </c>
    </row>
    <row r="24" customFormat="false" ht="15" hidden="false" customHeight="false" outlineLevel="0" collapsed="false">
      <c r="A24" s="11" t="n">
        <v>3000020</v>
      </c>
      <c r="B24" s="14" t="n">
        <v>46268</v>
      </c>
      <c r="C24" s="11" t="n">
        <v>700005</v>
      </c>
      <c r="D24" s="19" t="n">
        <v>5000</v>
      </c>
      <c r="E24" s="19" t="n">
        <v>15</v>
      </c>
      <c r="F24" s="19" t="n">
        <v>4985</v>
      </c>
      <c r="G24" s="13" t="s">
        <v>310</v>
      </c>
      <c r="H24" s="15" t="n">
        <v>46270.4583333333</v>
      </c>
    </row>
    <row r="25" customFormat="false" ht="15" hidden="false" customHeight="false" outlineLevel="0" collapsed="false">
      <c r="A25" s="11" t="n">
        <v>3000021</v>
      </c>
      <c r="B25" s="14" t="n">
        <v>46269</v>
      </c>
      <c r="C25" s="11" t="n">
        <v>700003</v>
      </c>
      <c r="D25" s="19" t="n">
        <v>210000</v>
      </c>
      <c r="E25" s="19" t="n">
        <v>630</v>
      </c>
      <c r="F25" s="19" t="n">
        <v>209370</v>
      </c>
      <c r="G25" s="13" t="s">
        <v>310</v>
      </c>
      <c r="H25" s="15" t="n">
        <v>46271.4583333333</v>
      </c>
    </row>
    <row r="26" customFormat="false" ht="15" hidden="false" customHeight="false" outlineLevel="0" collapsed="false">
      <c r="A26" s="11" t="n">
        <v>3000022</v>
      </c>
      <c r="B26" s="14" t="n">
        <v>46270</v>
      </c>
      <c r="C26" s="11" t="n">
        <v>700002</v>
      </c>
      <c r="D26" s="19" t="n">
        <v>30000</v>
      </c>
      <c r="E26" s="19" t="n">
        <v>90</v>
      </c>
      <c r="F26" s="19" t="n">
        <v>29910</v>
      </c>
      <c r="G26" s="13" t="s">
        <v>310</v>
      </c>
      <c r="H26" s="15" t="n">
        <v>46272.4583333333</v>
      </c>
    </row>
    <row r="27" customFormat="false" ht="15" hidden="false" customHeight="false" outlineLevel="0" collapsed="false">
      <c r="A27" s="11" t="n">
        <v>3000023</v>
      </c>
      <c r="B27" s="14" t="n">
        <v>46270</v>
      </c>
      <c r="C27" s="11" t="n">
        <v>700007</v>
      </c>
      <c r="D27" s="19" t="n">
        <v>35000</v>
      </c>
      <c r="E27" s="19" t="n">
        <v>105</v>
      </c>
      <c r="F27" s="19" t="n">
        <v>34895</v>
      </c>
      <c r="G27" s="13" t="s">
        <v>310</v>
      </c>
      <c r="H27" s="15" t="n">
        <v>46272.4583333333</v>
      </c>
    </row>
    <row r="28" customFormat="false" ht="15" hidden="false" customHeight="false" outlineLevel="0" collapsed="false">
      <c r="A28" s="11" t="n">
        <v>3000024</v>
      </c>
      <c r="B28" s="14" t="n">
        <v>46271</v>
      </c>
      <c r="C28" s="11" t="n">
        <v>700003</v>
      </c>
      <c r="D28" s="19" t="n">
        <v>-210000</v>
      </c>
      <c r="E28" s="19" t="n">
        <v>-630</v>
      </c>
      <c r="F28" s="19" t="n">
        <v>-209370</v>
      </c>
      <c r="G28" s="13" t="s">
        <v>310</v>
      </c>
      <c r="H28" s="15" t="n">
        <v>46273.4583333333</v>
      </c>
    </row>
    <row r="30" customFormat="false" ht="15" hidden="false" customHeight="false" outlineLevel="0" collapsed="false">
      <c r="A30" s="20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20.1" hidden="false" customHeight="false" outlineLevel="0" collapsed="false">
      <c r="A1" s="7" t="s">
        <v>312</v>
      </c>
    </row>
    <row r="3" customFormat="false" ht="23.85" hidden="false" customHeight="false" outlineLevel="0" collapsed="false">
      <c r="A3" s="8" t="s">
        <v>313</v>
      </c>
      <c r="B3" s="8" t="s">
        <v>66</v>
      </c>
      <c r="C3" s="8" t="s">
        <v>314</v>
      </c>
      <c r="D3" s="8" t="s">
        <v>315</v>
      </c>
      <c r="E3" s="8" t="s">
        <v>316</v>
      </c>
      <c r="F3" s="8" t="s">
        <v>317</v>
      </c>
    </row>
    <row r="4" customFormat="false" ht="30" hidden="false" customHeight="true" outlineLevel="0" collapsed="false">
      <c r="A4" s="9" t="s">
        <v>318</v>
      </c>
      <c r="B4" s="17" t="s">
        <v>114</v>
      </c>
      <c r="C4" s="10" t="s">
        <v>319</v>
      </c>
      <c r="D4" s="10" t="s">
        <v>320</v>
      </c>
      <c r="E4" s="10" t="s">
        <v>321</v>
      </c>
      <c r="F4" s="10" t="s">
        <v>322</v>
      </c>
    </row>
    <row r="5" customFormat="false" ht="15" hidden="false" customHeight="false" outlineLevel="0" collapsed="false">
      <c r="A5" s="11" t="n">
        <v>2000001</v>
      </c>
      <c r="B5" s="11" t="n">
        <v>100001</v>
      </c>
      <c r="C5" s="15" t="n">
        <v>46237.4236355324</v>
      </c>
      <c r="D5" s="12" t="s">
        <v>323</v>
      </c>
      <c r="E5" s="12" t="s">
        <v>324</v>
      </c>
      <c r="F5" s="12" t="s">
        <v>165</v>
      </c>
    </row>
    <row r="6" customFormat="false" ht="15" hidden="false" customHeight="false" outlineLevel="0" collapsed="false">
      <c r="A6" s="11" t="n">
        <v>2000002</v>
      </c>
      <c r="B6" s="11" t="n">
        <v>100002</v>
      </c>
      <c r="C6" s="15" t="n">
        <v>46237.4852418982</v>
      </c>
      <c r="D6" s="12" t="s">
        <v>325</v>
      </c>
      <c r="E6" s="12" t="s">
        <v>326</v>
      </c>
      <c r="F6" s="12" t="s">
        <v>165</v>
      </c>
    </row>
    <row r="7" customFormat="false" ht="15" hidden="false" customHeight="false" outlineLevel="0" collapsed="false">
      <c r="A7" s="11" t="n">
        <v>2000003</v>
      </c>
      <c r="B7" s="11" t="n">
        <v>100003</v>
      </c>
      <c r="C7" s="15" t="n">
        <v>46242.3621591435</v>
      </c>
      <c r="D7" s="12" t="s">
        <v>327</v>
      </c>
      <c r="E7" s="12" t="s">
        <v>328</v>
      </c>
      <c r="F7" s="12" t="s">
        <v>165</v>
      </c>
    </row>
    <row r="8" customFormat="false" ht="15" hidden="false" customHeight="false" outlineLevel="0" collapsed="false">
      <c r="A8" s="11" t="n">
        <v>2000004</v>
      </c>
      <c r="B8" s="11" t="n">
        <v>100004</v>
      </c>
      <c r="C8" s="15" t="n">
        <v>46244.6252168981</v>
      </c>
      <c r="D8" s="12" t="s">
        <v>329</v>
      </c>
      <c r="E8" s="12" t="s">
        <v>330</v>
      </c>
      <c r="F8" s="12" t="s">
        <v>159</v>
      </c>
    </row>
    <row r="9" customFormat="false" ht="15" hidden="false" customHeight="false" outlineLevel="0" collapsed="false">
      <c r="A9" s="11" t="n">
        <v>2000005</v>
      </c>
      <c r="B9" s="11" t="n">
        <v>100004</v>
      </c>
      <c r="C9" s="15" t="n">
        <v>46244.625721412</v>
      </c>
      <c r="D9" s="12" t="s">
        <v>329</v>
      </c>
      <c r="E9" s="12" t="s">
        <v>330</v>
      </c>
      <c r="F9" s="12" t="s">
        <v>165</v>
      </c>
    </row>
    <row r="10" customFormat="false" ht="15" hidden="false" customHeight="false" outlineLevel="0" collapsed="false">
      <c r="A10" s="11" t="n">
        <v>2000006</v>
      </c>
      <c r="B10" s="11" t="n">
        <v>100005</v>
      </c>
      <c r="C10" s="15" t="n">
        <v>46247.3733914352</v>
      </c>
      <c r="D10" s="12" t="s">
        <v>331</v>
      </c>
      <c r="E10" s="12" t="s">
        <v>332</v>
      </c>
      <c r="F10" s="12" t="s">
        <v>165</v>
      </c>
    </row>
    <row r="11" customFormat="false" ht="15" hidden="false" customHeight="false" outlineLevel="0" collapsed="false">
      <c r="A11" s="11" t="n">
        <v>2000007</v>
      </c>
      <c r="B11" s="11" t="n">
        <v>100006</v>
      </c>
      <c r="C11" s="15" t="n">
        <v>46251.885415162</v>
      </c>
      <c r="D11" s="12" t="s">
        <v>333</v>
      </c>
      <c r="E11" s="12" t="s">
        <v>334</v>
      </c>
      <c r="F11" s="12" t="s">
        <v>159</v>
      </c>
    </row>
    <row r="12" customFormat="false" ht="15" hidden="false" customHeight="false" outlineLevel="0" collapsed="false">
      <c r="A12" s="11" t="n">
        <v>2000008</v>
      </c>
      <c r="B12" s="11" t="n">
        <v>100007</v>
      </c>
      <c r="C12" s="15" t="n">
        <v>46252.5953981482</v>
      </c>
      <c r="D12" s="12" t="s">
        <v>335</v>
      </c>
      <c r="E12" s="12" t="s">
        <v>336</v>
      </c>
      <c r="F12" s="12" t="s">
        <v>165</v>
      </c>
    </row>
    <row r="13" customFormat="false" ht="15" hidden="false" customHeight="false" outlineLevel="0" collapsed="false">
      <c r="A13" s="11" t="n">
        <v>2000009</v>
      </c>
      <c r="B13" s="11" t="n">
        <v>100002</v>
      </c>
      <c r="C13" s="15" t="n">
        <v>46254.7313155093</v>
      </c>
      <c r="D13" s="12" t="s">
        <v>325</v>
      </c>
      <c r="E13" s="12" t="s">
        <v>326</v>
      </c>
      <c r="F13" s="12" t="s">
        <v>165</v>
      </c>
    </row>
    <row r="14" customFormat="false" ht="15" hidden="false" customHeight="false" outlineLevel="0" collapsed="false">
      <c r="A14" s="11" t="n">
        <v>2000010</v>
      </c>
      <c r="B14" s="11" t="n">
        <v>100001</v>
      </c>
      <c r="C14" s="15" t="n">
        <v>46266.347768287</v>
      </c>
      <c r="D14" s="12" t="s">
        <v>323</v>
      </c>
      <c r="E14" s="12" t="s">
        <v>324</v>
      </c>
      <c r="F14" s="12" t="s">
        <v>165</v>
      </c>
    </row>
    <row r="15" customFormat="false" ht="15" hidden="false" customHeight="false" outlineLevel="0" collapsed="false">
      <c r="A15" s="11" t="n">
        <v>2000011</v>
      </c>
      <c r="B15" s="11" t="n">
        <v>100008</v>
      </c>
      <c r="C15" s="15" t="n">
        <v>46267.3952951389</v>
      </c>
      <c r="D15" s="12" t="s">
        <v>337</v>
      </c>
      <c r="E15" s="12" t="s">
        <v>338</v>
      </c>
      <c r="F15" s="12" t="s">
        <v>165</v>
      </c>
    </row>
    <row r="16" customFormat="false" ht="15" hidden="false" customHeight="false" outlineLevel="0" collapsed="false">
      <c r="A16" s="11" t="n">
        <v>2000012</v>
      </c>
      <c r="B16" s="11" t="n">
        <v>100003</v>
      </c>
      <c r="C16" s="15" t="n">
        <v>46269.4580563657</v>
      </c>
      <c r="D16" s="12" t="s">
        <v>327</v>
      </c>
      <c r="E16" s="12" t="s">
        <v>328</v>
      </c>
      <c r="F16" s="12" t="s">
        <v>165</v>
      </c>
    </row>
    <row r="17" customFormat="false" ht="15" hidden="false" customHeight="false" outlineLevel="0" collapsed="false">
      <c r="A17" s="11" t="n">
        <v>2000013</v>
      </c>
      <c r="B17" s="11" t="n">
        <v>100005</v>
      </c>
      <c r="C17" s="15" t="n">
        <v>46270.7966775463</v>
      </c>
      <c r="D17" s="12" t="s">
        <v>339</v>
      </c>
      <c r="E17" s="12" t="s">
        <v>340</v>
      </c>
      <c r="F17" s="12" t="s">
        <v>165</v>
      </c>
    </row>
    <row r="19" customFormat="false" ht="15" hidden="false" customHeight="false" outlineLevel="0" collapsed="false">
      <c r="A19" s="16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2"/>
  </cols>
  <sheetData>
    <row r="1" customFormat="false" ht="20.1" hidden="false" customHeight="false" outlineLevel="0" collapsed="false">
      <c r="A1" s="7" t="s">
        <v>342</v>
      </c>
    </row>
    <row r="3" customFormat="false" ht="23.85" hidden="false" customHeight="false" outlineLevel="0" collapsed="false">
      <c r="A3" s="8" t="s">
        <v>343</v>
      </c>
      <c r="B3" s="8" t="s">
        <v>172</v>
      </c>
      <c r="C3" s="8" t="s">
        <v>344</v>
      </c>
      <c r="D3" s="8" t="s">
        <v>345</v>
      </c>
      <c r="E3" s="8" t="s">
        <v>346</v>
      </c>
      <c r="F3" s="8" t="s">
        <v>347</v>
      </c>
    </row>
    <row r="4" customFormat="false" ht="30" hidden="false" customHeight="true" outlineLevel="0" collapsed="false">
      <c r="A4" s="9" t="s">
        <v>348</v>
      </c>
      <c r="B4" s="17" t="s">
        <v>349</v>
      </c>
      <c r="C4" s="10" t="s">
        <v>350</v>
      </c>
      <c r="D4" s="10" t="s">
        <v>351</v>
      </c>
      <c r="E4" s="10" t="s">
        <v>352</v>
      </c>
      <c r="F4" s="10" t="s">
        <v>353</v>
      </c>
    </row>
    <row r="5" customFormat="false" ht="15" hidden="false" customHeight="false" outlineLevel="0" collapsed="false">
      <c r="A5" s="11" t="n">
        <v>6000001</v>
      </c>
      <c r="B5" s="11" t="n">
        <v>9000001</v>
      </c>
      <c r="C5" s="12" t="s">
        <v>354</v>
      </c>
      <c r="D5" s="12" t="s">
        <v>355</v>
      </c>
      <c r="E5" s="12" t="s">
        <v>356</v>
      </c>
      <c r="F5" s="15" t="n">
        <v>46239.5216403935</v>
      </c>
    </row>
    <row r="6" customFormat="false" ht="15" hidden="false" customHeight="false" outlineLevel="0" collapsed="false">
      <c r="A6" s="11" t="n">
        <v>6000002</v>
      </c>
      <c r="B6" s="11" t="n">
        <v>9000002</v>
      </c>
      <c r="C6" s="12" t="s">
        <v>354</v>
      </c>
      <c r="D6" s="12" t="s">
        <v>355</v>
      </c>
      <c r="E6" s="12" t="s">
        <v>356</v>
      </c>
      <c r="F6" s="15" t="n">
        <v>46239.7518206019</v>
      </c>
    </row>
    <row r="7" customFormat="false" ht="15" hidden="false" customHeight="false" outlineLevel="0" collapsed="false">
      <c r="A7" s="11" t="n">
        <v>6000003</v>
      </c>
      <c r="B7" s="11" t="n">
        <v>9000003</v>
      </c>
      <c r="C7" s="12" t="s">
        <v>354</v>
      </c>
      <c r="D7" s="12" t="s">
        <v>355</v>
      </c>
      <c r="E7" s="12" t="s">
        <v>356</v>
      </c>
      <c r="F7" s="15" t="n">
        <v>46241.3860171296</v>
      </c>
    </row>
    <row r="8" customFormat="false" ht="15" hidden="false" customHeight="false" outlineLevel="0" collapsed="false">
      <c r="A8" s="11" t="n">
        <v>6000004</v>
      </c>
      <c r="B8" s="11" t="n">
        <v>9000004</v>
      </c>
      <c r="C8" s="12" t="s">
        <v>354</v>
      </c>
      <c r="D8" s="12" t="s">
        <v>355</v>
      </c>
      <c r="E8" s="12" t="s">
        <v>356</v>
      </c>
      <c r="F8" s="15" t="n">
        <v>46241.764371875</v>
      </c>
    </row>
    <row r="9" customFormat="false" ht="15" hidden="false" customHeight="false" outlineLevel="0" collapsed="false">
      <c r="A9" s="11" t="n">
        <v>6000005</v>
      </c>
      <c r="B9" s="11" t="n">
        <v>9000005</v>
      </c>
      <c r="C9" s="12" t="s">
        <v>354</v>
      </c>
      <c r="D9" s="12" t="s">
        <v>355</v>
      </c>
      <c r="E9" s="12" t="s">
        <v>356</v>
      </c>
      <c r="F9" s="15" t="n">
        <v>46243.8069886574</v>
      </c>
    </row>
    <row r="10" customFormat="false" ht="15" hidden="false" customHeight="false" outlineLevel="0" collapsed="false">
      <c r="A10" s="11" t="n">
        <v>6000006</v>
      </c>
      <c r="B10" s="11" t="n">
        <v>9000006</v>
      </c>
      <c r="C10" s="12" t="s">
        <v>354</v>
      </c>
      <c r="D10" s="12" t="s">
        <v>355</v>
      </c>
      <c r="E10" s="12" t="s">
        <v>356</v>
      </c>
      <c r="F10" s="15" t="n">
        <v>46245.5456604167</v>
      </c>
    </row>
    <row r="11" customFormat="false" ht="15" hidden="false" customHeight="false" outlineLevel="0" collapsed="false">
      <c r="A11" s="11" t="n">
        <v>6000007</v>
      </c>
      <c r="B11" s="11" t="n">
        <v>9000007</v>
      </c>
      <c r="C11" s="12" t="s">
        <v>354</v>
      </c>
      <c r="D11" s="12" t="s">
        <v>355</v>
      </c>
      <c r="E11" s="12" t="s">
        <v>356</v>
      </c>
      <c r="F11" s="15" t="n">
        <v>46246.8620074074</v>
      </c>
    </row>
    <row r="12" customFormat="false" ht="15" hidden="false" customHeight="false" outlineLevel="0" collapsed="false">
      <c r="A12" s="11" t="n">
        <v>6000008</v>
      </c>
      <c r="B12" s="11" t="n">
        <v>9000008</v>
      </c>
      <c r="C12" s="12" t="s">
        <v>354</v>
      </c>
      <c r="D12" s="12" t="s">
        <v>355</v>
      </c>
      <c r="E12" s="12" t="s">
        <v>356</v>
      </c>
      <c r="F12" s="15" t="n">
        <v>46248.5084756944</v>
      </c>
    </row>
    <row r="13" customFormat="false" ht="15" hidden="false" customHeight="false" outlineLevel="0" collapsed="false">
      <c r="A13" s="11" t="n">
        <v>6000009</v>
      </c>
      <c r="B13" s="11" t="n">
        <v>9000009</v>
      </c>
      <c r="C13" s="12" t="s">
        <v>354</v>
      </c>
      <c r="D13" s="12" t="s">
        <v>355</v>
      </c>
      <c r="E13" s="12" t="s">
        <v>356</v>
      </c>
      <c r="F13" s="15" t="n">
        <v>46249.6999546296</v>
      </c>
    </row>
    <row r="14" customFormat="false" ht="15" hidden="false" customHeight="false" outlineLevel="0" collapsed="false">
      <c r="A14" s="11" t="n">
        <v>6000010</v>
      </c>
      <c r="B14" s="11" t="n">
        <v>9000010</v>
      </c>
      <c r="C14" s="12" t="s">
        <v>354</v>
      </c>
      <c r="D14" s="12" t="s">
        <v>357</v>
      </c>
      <c r="E14" s="12" t="s">
        <v>356</v>
      </c>
      <c r="F14" s="15" t="n">
        <v>46250.4190118056</v>
      </c>
    </row>
    <row r="15" customFormat="false" ht="15" hidden="false" customHeight="false" outlineLevel="0" collapsed="false">
      <c r="A15" s="11" t="n">
        <v>6000011</v>
      </c>
      <c r="B15" s="11" t="n">
        <v>9000011</v>
      </c>
      <c r="C15" s="12" t="s">
        <v>354</v>
      </c>
      <c r="D15" s="12" t="s">
        <v>355</v>
      </c>
      <c r="E15" s="12" t="s">
        <v>356</v>
      </c>
      <c r="F15" s="15" t="n">
        <v>46252.5037043982</v>
      </c>
    </row>
    <row r="16" customFormat="false" ht="15" hidden="false" customHeight="false" outlineLevel="0" collapsed="false">
      <c r="A16" s="11" t="n">
        <v>6000012</v>
      </c>
      <c r="B16" s="11" t="n">
        <v>9000012</v>
      </c>
      <c r="C16" s="12" t="s">
        <v>354</v>
      </c>
      <c r="D16" s="12" t="s">
        <v>355</v>
      </c>
      <c r="E16" s="12" t="s">
        <v>356</v>
      </c>
      <c r="F16" s="15" t="n">
        <v>46253.4661028935</v>
      </c>
    </row>
    <row r="17" customFormat="false" ht="15" hidden="false" customHeight="false" outlineLevel="0" collapsed="false">
      <c r="A17" s="11" t="n">
        <v>6000013</v>
      </c>
      <c r="B17" s="11" t="n">
        <v>9000013</v>
      </c>
      <c r="C17" s="12" t="s">
        <v>354</v>
      </c>
      <c r="D17" s="12" t="s">
        <v>355</v>
      </c>
      <c r="E17" s="12" t="s">
        <v>356</v>
      </c>
      <c r="F17" s="15" t="n">
        <v>46255.5350744213</v>
      </c>
    </row>
    <row r="18" customFormat="false" ht="15" hidden="false" customHeight="false" outlineLevel="0" collapsed="false">
      <c r="A18" s="11" t="n">
        <v>6000014</v>
      </c>
      <c r="B18" s="11" t="n">
        <v>9000014</v>
      </c>
      <c r="C18" s="12" t="s">
        <v>354</v>
      </c>
      <c r="D18" s="12" t="s">
        <v>355</v>
      </c>
      <c r="E18" s="12" t="s">
        <v>356</v>
      </c>
      <c r="F18" s="15" t="n">
        <v>46256.771553125</v>
      </c>
    </row>
    <row r="19" customFormat="false" ht="15" hidden="false" customHeight="false" outlineLevel="0" collapsed="false">
      <c r="A19" s="11" t="n">
        <v>6000015</v>
      </c>
      <c r="B19" s="11" t="n">
        <v>9000015</v>
      </c>
      <c r="C19" s="12" t="s">
        <v>354</v>
      </c>
      <c r="D19" s="12" t="s">
        <v>355</v>
      </c>
      <c r="E19" s="12" t="s">
        <v>356</v>
      </c>
      <c r="F19" s="15" t="n">
        <v>46259.4818362269</v>
      </c>
    </row>
    <row r="20" customFormat="false" ht="15" hidden="false" customHeight="false" outlineLevel="0" collapsed="false">
      <c r="A20" s="11" t="n">
        <v>6000016</v>
      </c>
      <c r="B20" s="11" t="n">
        <v>9000016</v>
      </c>
      <c r="C20" s="12" t="s">
        <v>354</v>
      </c>
      <c r="D20" s="12" t="s">
        <v>355</v>
      </c>
      <c r="E20" s="12" t="s">
        <v>356</v>
      </c>
      <c r="F20" s="15" t="n">
        <v>46260.5554270833</v>
      </c>
    </row>
    <row r="21" customFormat="false" ht="15" hidden="false" customHeight="false" outlineLevel="0" collapsed="false">
      <c r="A21" s="11" t="n">
        <v>6000017</v>
      </c>
      <c r="B21" s="11" t="n">
        <v>9000017</v>
      </c>
      <c r="C21" s="12" t="s">
        <v>354</v>
      </c>
      <c r="D21" s="12" t="s">
        <v>355</v>
      </c>
      <c r="E21" s="12" t="s">
        <v>356</v>
      </c>
      <c r="F21" s="15" t="n">
        <v>46261.4365361111</v>
      </c>
    </row>
    <row r="22" customFormat="false" ht="15" hidden="false" customHeight="false" outlineLevel="0" collapsed="false">
      <c r="A22" s="11" t="n">
        <v>6000018</v>
      </c>
      <c r="B22" s="11" t="n">
        <v>9000018</v>
      </c>
      <c r="C22" s="12" t="s">
        <v>354</v>
      </c>
      <c r="D22" s="12" t="s">
        <v>355</v>
      </c>
      <c r="E22" s="12" t="s">
        <v>356</v>
      </c>
      <c r="F22" s="15" t="n">
        <v>46267.5025966435</v>
      </c>
    </row>
    <row r="23" customFormat="false" ht="15" hidden="false" customHeight="false" outlineLevel="0" collapsed="false">
      <c r="A23" s="11" t="n">
        <v>6000019</v>
      </c>
      <c r="B23" s="11" t="n">
        <v>9000019</v>
      </c>
      <c r="C23" s="12" t="s">
        <v>354</v>
      </c>
      <c r="D23" s="12" t="s">
        <v>355</v>
      </c>
      <c r="E23" s="12" t="s">
        <v>356</v>
      </c>
      <c r="F23" s="15" t="n">
        <v>46268.8224711806</v>
      </c>
    </row>
    <row r="24" customFormat="false" ht="15" hidden="false" customHeight="false" outlineLevel="0" collapsed="false">
      <c r="A24" s="11" t="n">
        <v>6000020</v>
      </c>
      <c r="B24" s="11" t="n">
        <v>9000020</v>
      </c>
      <c r="C24" s="12" t="s">
        <v>354</v>
      </c>
      <c r="D24" s="12" t="s">
        <v>355</v>
      </c>
      <c r="E24" s="12" t="s">
        <v>356</v>
      </c>
      <c r="F24" s="15" t="n">
        <v>46268.5143693287</v>
      </c>
    </row>
    <row r="25" customFormat="false" ht="15" hidden="false" customHeight="false" outlineLevel="0" collapsed="false">
      <c r="A25" s="11" t="n">
        <v>6000021</v>
      </c>
      <c r="B25" s="11" t="n">
        <v>9000021</v>
      </c>
      <c r="C25" s="12" t="s">
        <v>354</v>
      </c>
      <c r="D25" s="12" t="s">
        <v>355</v>
      </c>
      <c r="E25" s="12" t="s">
        <v>356</v>
      </c>
      <c r="F25" s="15" t="n">
        <v>46269.4604173611</v>
      </c>
    </row>
    <row r="26" customFormat="false" ht="15" hidden="false" customHeight="false" outlineLevel="0" collapsed="false">
      <c r="A26" s="11" t="n">
        <v>6000022</v>
      </c>
      <c r="B26" s="11" t="n">
        <v>9000022</v>
      </c>
      <c r="C26" s="12" t="s">
        <v>354</v>
      </c>
      <c r="D26" s="12" t="s">
        <v>355</v>
      </c>
      <c r="E26" s="12" t="s">
        <v>356</v>
      </c>
      <c r="F26" s="15" t="n">
        <v>46270.5697607639</v>
      </c>
    </row>
    <row r="27" customFormat="false" ht="15" hidden="false" customHeight="false" outlineLevel="0" collapsed="false">
      <c r="A27" s="11" t="n">
        <v>6000023</v>
      </c>
      <c r="B27" s="11" t="n">
        <v>9000023</v>
      </c>
      <c r="C27" s="12" t="s">
        <v>354</v>
      </c>
      <c r="D27" s="12" t="s">
        <v>355</v>
      </c>
      <c r="E27" s="12" t="s">
        <v>356</v>
      </c>
      <c r="F27" s="15" t="n">
        <v>46270.7986439815</v>
      </c>
    </row>
    <row r="28" customFormat="false" ht="15" hidden="false" customHeight="false" outlineLevel="0" collapsed="false">
      <c r="A28" s="11" t="n">
        <v>6000024</v>
      </c>
      <c r="B28" s="11" t="n">
        <v>9000024</v>
      </c>
      <c r="C28" s="12" t="s">
        <v>354</v>
      </c>
      <c r="D28" s="12" t="s">
        <v>357</v>
      </c>
      <c r="E28" s="12" t="s">
        <v>356</v>
      </c>
      <c r="F28" s="15" t="n">
        <v>46271.3854621528</v>
      </c>
    </row>
    <row r="30" customFormat="false" ht="15" hidden="false" customHeight="false" outlineLevel="0" collapsed="false">
      <c r="A30" s="20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3"/>
  </cols>
  <sheetData>
    <row r="1" customFormat="false" ht="16.15" hidden="false" customHeight="false" outlineLevel="0" collapsed="false">
      <c r="A1" s="21" t="s">
        <v>359</v>
      </c>
    </row>
    <row r="2" customFormat="false" ht="15" hidden="false" customHeight="false" outlineLevel="0" collapsed="false">
      <c r="A2" s="22" t="s">
        <v>360</v>
      </c>
    </row>
    <row r="4" customFormat="false" ht="39.75" hidden="false" customHeight="true" outlineLevel="0" collapsed="false">
      <c r="A4" s="8" t="s">
        <v>109</v>
      </c>
      <c r="B4" s="8" t="s">
        <v>361</v>
      </c>
      <c r="C4" s="8" t="s">
        <v>362</v>
      </c>
      <c r="D4" s="23" t="s">
        <v>363</v>
      </c>
      <c r="E4" s="8" t="s">
        <v>364</v>
      </c>
      <c r="F4" s="8" t="s">
        <v>365</v>
      </c>
      <c r="G4" s="23" t="s">
        <v>366</v>
      </c>
    </row>
    <row r="5" customFormat="false" ht="15" hidden="false" customHeight="false" outlineLevel="0" collapsed="false">
      <c r="A5" s="11" t="n">
        <v>5000001</v>
      </c>
      <c r="B5" s="24" t="n">
        <f aca="false">INDEX(02_LOCAL_ACCOUNT!$E$5:$E$16,MATCH($A5,02_LOCAL_ACCOUNT!$A$5:$A$16,0))</f>
        <v>713142</v>
      </c>
      <c r="C5" s="24" t="n">
        <f aca="false">SUMIFS(04_RECHARGE_TRANSACTION!$D$5:$D$17,04_RECHARGE_TRANSACTION!$B$5:$B$17,$A5)-SUMIFS(05_PAYMENT_TRANSACTION!$H$5:$H$28,05_PAYMENT_TRANSACTION!$B$5:$B$28,$A5)</f>
        <v>713142</v>
      </c>
      <c r="D5" s="11" t="str">
        <f aca="false">IF(B5=C5,"일치","불일치")</f>
        <v>일치</v>
      </c>
      <c r="E5" s="24" t="n">
        <f aca="false">INDEX(03_CASHBACK_ACCOUNT!$C$5:$C$16,MATCH($A5,03_CASHBACK_ACCOUNT!$B$5:$B$16,0))</f>
        <v>4543</v>
      </c>
      <c r="F5" s="24" t="n">
        <f aca="false">SUMIFS(05_PAYMENT_TRANSACTION!$I$5:$I$28,05_PAYMENT_TRANSACTION!$B$5:$B$28,$A5)-SUMIFS(05_PAYMENT_TRANSACTION!$G$5:$G$28,05_PAYMENT_TRANSACTION!$B$5:$B$28,$A5)</f>
        <v>4543</v>
      </c>
      <c r="G5" s="11" t="str">
        <f aca="false">IF(E5=F5,"일치","불일치")</f>
        <v>일치</v>
      </c>
    </row>
    <row r="6" customFormat="false" ht="15" hidden="false" customHeight="false" outlineLevel="0" collapsed="false">
      <c r="A6" s="11" t="n">
        <v>5000002</v>
      </c>
      <c r="B6" s="24" t="n">
        <f aca="false">INDEX(02_LOCAL_ACCOUNT!$E$5:$E$16,MATCH($A6,02_LOCAL_ACCOUNT!$A$5:$A$16,0))</f>
        <v>250000</v>
      </c>
      <c r="C6" s="24" t="n">
        <f aca="false">SUMIFS(04_RECHARGE_TRANSACTION!$D$5:$D$17,04_RECHARGE_TRANSACTION!$B$5:$B$17,$A6)-SUMIFS(05_PAYMENT_TRANSACTION!$H$5:$H$28,05_PAYMENT_TRANSACTION!$B$5:$B$28,$A6)</f>
        <v>250000</v>
      </c>
      <c r="D6" s="11" t="str">
        <f aca="false">IF(B6=C6,"일치","불일치")</f>
        <v>일치</v>
      </c>
      <c r="E6" s="24" t="n">
        <f aca="false">INDEX(03_CASHBACK_ACCOUNT!$C$5:$C$16,MATCH($A6,03_CASHBACK_ACCOUNT!$B$5:$B$16,0))</f>
        <v>10500</v>
      </c>
      <c r="F6" s="24" t="n">
        <f aca="false">SUMIFS(05_PAYMENT_TRANSACTION!$I$5:$I$28,05_PAYMENT_TRANSACTION!$B$5:$B$28,$A6)-SUMIFS(05_PAYMENT_TRANSACTION!$G$5:$G$28,05_PAYMENT_TRANSACTION!$B$5:$B$28,$A6)</f>
        <v>10500</v>
      </c>
      <c r="G6" s="11" t="str">
        <f aca="false">IF(E6=F6,"일치","불일치")</f>
        <v>일치</v>
      </c>
    </row>
    <row r="7" customFormat="false" ht="15" hidden="false" customHeight="false" outlineLevel="0" collapsed="false">
      <c r="A7" s="11" t="n">
        <v>5000003</v>
      </c>
      <c r="B7" s="24" t="n">
        <f aca="false">INDEX(02_LOCAL_ACCOUNT!$E$5:$E$16,MATCH($A7,02_LOCAL_ACCOUNT!$A$5:$A$16,0))</f>
        <v>111860</v>
      </c>
      <c r="C7" s="24" t="n">
        <f aca="false">SUMIFS(04_RECHARGE_TRANSACTION!$D$5:$D$17,04_RECHARGE_TRANSACTION!$B$5:$B$17,$A7)-SUMIFS(05_PAYMENT_TRANSACTION!$H$5:$H$28,05_PAYMENT_TRANSACTION!$B$5:$B$28,$A7)</f>
        <v>111860</v>
      </c>
      <c r="D7" s="11" t="str">
        <f aca="false">IF(B7=C7,"일치","불일치")</f>
        <v>일치</v>
      </c>
      <c r="E7" s="24" t="n">
        <f aca="false">INDEX(03_CASHBACK_ACCOUNT!$C$5:$C$16,MATCH($A7,03_CASHBACK_ACCOUNT!$B$5:$B$16,0))</f>
        <v>1954</v>
      </c>
      <c r="F7" s="24" t="n">
        <f aca="false">SUMIFS(05_PAYMENT_TRANSACTION!$I$5:$I$28,05_PAYMENT_TRANSACTION!$B$5:$B$28,$A7)-SUMIFS(05_PAYMENT_TRANSACTION!$G$5:$G$28,05_PAYMENT_TRANSACTION!$B$5:$B$28,$A7)</f>
        <v>1954</v>
      </c>
      <c r="G7" s="11" t="str">
        <f aca="false">IF(E7=F7,"일치","불일치")</f>
        <v>일치</v>
      </c>
    </row>
    <row r="8" customFormat="false" ht="15" hidden="false" customHeight="false" outlineLevel="0" collapsed="false">
      <c r="A8" s="11" t="n">
        <v>5000004</v>
      </c>
      <c r="B8" s="24" t="n">
        <f aca="false">INDEX(02_LOCAL_ACCOUNT!$E$5:$E$16,MATCH($A8,02_LOCAL_ACCOUNT!$A$5:$A$16,0))</f>
        <v>255000</v>
      </c>
      <c r="C8" s="24" t="n">
        <f aca="false">SUMIFS(04_RECHARGE_TRANSACTION!$D$5:$D$17,04_RECHARGE_TRANSACTION!$B$5:$B$17,$A8)-SUMIFS(05_PAYMENT_TRANSACTION!$H$5:$H$28,05_PAYMENT_TRANSACTION!$B$5:$B$28,$A8)</f>
        <v>255000</v>
      </c>
      <c r="D8" s="11" t="str">
        <f aca="false">IF(B8=C8,"일치","불일치")</f>
        <v>일치</v>
      </c>
      <c r="E8" s="24" t="n">
        <f aca="false">INDEX(03_CASHBACK_ACCOUNT!$C$5:$C$16,MATCH($A8,03_CASHBACK_ACCOUNT!$B$5:$B$16,0))</f>
        <v>5400</v>
      </c>
      <c r="F8" s="24" t="n">
        <f aca="false">SUMIFS(05_PAYMENT_TRANSACTION!$I$5:$I$28,05_PAYMENT_TRANSACTION!$B$5:$B$28,$A8)-SUMIFS(05_PAYMENT_TRANSACTION!$G$5:$G$28,05_PAYMENT_TRANSACTION!$B$5:$B$28,$A8)</f>
        <v>5400</v>
      </c>
      <c r="G8" s="11" t="str">
        <f aca="false">IF(E8=F8,"일치","불일치")</f>
        <v>일치</v>
      </c>
    </row>
    <row r="9" customFormat="false" ht="15" hidden="false" customHeight="false" outlineLevel="0" collapsed="false">
      <c r="A9" s="11" t="n">
        <v>5000005</v>
      </c>
      <c r="B9" s="24" t="n">
        <f aca="false">INDEX(02_LOCAL_ACCOUNT!$E$5:$E$16,MATCH($A9,02_LOCAL_ACCOUNT!$A$5:$A$16,0))</f>
        <v>406160</v>
      </c>
      <c r="C9" s="24" t="n">
        <f aca="false">SUMIFS(04_RECHARGE_TRANSACTION!$D$5:$D$17,04_RECHARGE_TRANSACTION!$B$5:$B$17,$A9)-SUMIFS(05_PAYMENT_TRANSACTION!$H$5:$H$28,05_PAYMENT_TRANSACTION!$B$5:$B$28,$A9)</f>
        <v>406160</v>
      </c>
      <c r="D9" s="11" t="str">
        <f aca="false">IF(B9=C9,"일치","불일치")</f>
        <v>일치</v>
      </c>
      <c r="E9" s="24" t="n">
        <f aca="false">INDEX(03_CASHBACK_ACCOUNT!$C$5:$C$16,MATCH($A9,03_CASHBACK_ACCOUNT!$B$5:$B$16,0))</f>
        <v>408</v>
      </c>
      <c r="F9" s="24" t="n">
        <f aca="false">SUMIFS(05_PAYMENT_TRANSACTION!$I$5:$I$28,05_PAYMENT_TRANSACTION!$B$5:$B$28,$A9)-SUMIFS(05_PAYMENT_TRANSACTION!$G$5:$G$28,05_PAYMENT_TRANSACTION!$B$5:$B$28,$A9)</f>
        <v>408</v>
      </c>
      <c r="G9" s="11" t="str">
        <f aca="false">IF(E9=F9,"일치","불일치")</f>
        <v>일치</v>
      </c>
    </row>
    <row r="10" customFormat="false" ht="15" hidden="false" customHeight="false" outlineLevel="0" collapsed="false">
      <c r="A10" s="11" t="n">
        <v>5000006</v>
      </c>
      <c r="B10" s="24" t="n">
        <f aca="false">INDEX(02_LOCAL_ACCOUNT!$E$5:$E$16,MATCH($A10,02_LOCAL_ACCOUNT!$A$5:$A$16,0))</f>
        <v>62080</v>
      </c>
      <c r="C10" s="24" t="n">
        <f aca="false">SUMIFS(04_RECHARGE_TRANSACTION!$D$5:$D$17,04_RECHARGE_TRANSACTION!$B$5:$B$17,$A10)-SUMIFS(05_PAYMENT_TRANSACTION!$H$5:$H$28,05_PAYMENT_TRANSACTION!$B$5:$B$28,$A10)</f>
        <v>62080</v>
      </c>
      <c r="D10" s="11" t="str">
        <f aca="false">IF(B10=C10,"일치","불일치")</f>
        <v>일치</v>
      </c>
      <c r="E10" s="24" t="n">
        <f aca="false">INDEX(03_CASHBACK_ACCOUNT!$C$5:$C$16,MATCH($A10,03_CASHBACK_ACCOUNT!$B$5:$B$16,0))</f>
        <v>30720</v>
      </c>
      <c r="F10" s="24" t="n">
        <f aca="false">SUMIFS(05_PAYMENT_TRANSACTION!$I$5:$I$28,05_PAYMENT_TRANSACTION!$B$5:$B$28,$A10)-SUMIFS(05_PAYMENT_TRANSACTION!$G$5:$G$28,05_PAYMENT_TRANSACTION!$B$5:$B$28,$A10)</f>
        <v>30720</v>
      </c>
      <c r="G10" s="11" t="str">
        <f aca="false">IF(E10=F10,"일치","불일치")</f>
        <v>일치</v>
      </c>
    </row>
    <row r="11" customFormat="false" ht="15" hidden="false" customHeight="false" outlineLevel="0" collapsed="false">
      <c r="A11" s="11" t="n">
        <v>5000007</v>
      </c>
      <c r="B11" s="24" t="n">
        <f aca="false">INDEX(02_LOCAL_ACCOUNT!$E$5:$E$16,MATCH($A11,02_LOCAL_ACCOUNT!$A$5:$A$16,0))</f>
        <v>56500</v>
      </c>
      <c r="C11" s="24" t="n">
        <f aca="false">SUMIFS(04_RECHARGE_TRANSACTION!$D$5:$D$17,04_RECHARGE_TRANSACTION!$B$5:$B$17,$A11)-SUMIFS(05_PAYMENT_TRANSACTION!$H$5:$H$28,05_PAYMENT_TRANSACTION!$B$5:$B$28,$A11)</f>
        <v>56500</v>
      </c>
      <c r="D11" s="11" t="str">
        <f aca="false">IF(B11=C11,"일치","불일치")</f>
        <v>일치</v>
      </c>
      <c r="E11" s="24" t="n">
        <f aca="false">INDEX(03_CASHBACK_ACCOUNT!$C$5:$C$16,MATCH($A11,03_CASHBACK_ACCOUNT!$B$5:$B$16,0))</f>
        <v>2850</v>
      </c>
      <c r="F11" s="24" t="n">
        <f aca="false">SUMIFS(05_PAYMENT_TRANSACTION!$I$5:$I$28,05_PAYMENT_TRANSACTION!$B$5:$B$28,$A11)-SUMIFS(05_PAYMENT_TRANSACTION!$G$5:$G$28,05_PAYMENT_TRANSACTION!$B$5:$B$28,$A11)</f>
        <v>2850</v>
      </c>
      <c r="G11" s="11" t="str">
        <f aca="false">IF(E11=F11,"일치","불일치")</f>
        <v>일치</v>
      </c>
    </row>
    <row r="12" customFormat="false" ht="15" hidden="false" customHeight="false" outlineLevel="0" collapsed="false">
      <c r="A12" s="11" t="n">
        <v>5000008</v>
      </c>
      <c r="B12" s="24" t="n">
        <f aca="false">INDEX(02_LOCAL_ACCOUNT!$E$5:$E$16,MATCH($A12,02_LOCAL_ACCOUNT!$A$5:$A$16,0))</f>
        <v>0</v>
      </c>
      <c r="C12" s="24" t="n">
        <f aca="false">SUMIFS(04_RECHARGE_TRANSACTION!$D$5:$D$17,04_RECHARGE_TRANSACTION!$B$5:$B$17,$A12)-SUMIFS(05_PAYMENT_TRANSACTION!$H$5:$H$28,05_PAYMENT_TRANSACTION!$B$5:$B$28,$A12)</f>
        <v>0</v>
      </c>
      <c r="D12" s="11" t="str">
        <f aca="false">IF(B12=C12,"일치","불일치")</f>
        <v>일치</v>
      </c>
      <c r="E12" s="24" t="n">
        <f aca="false">INDEX(03_CASHBACK_ACCOUNT!$C$5:$C$16,MATCH($A12,03_CASHBACK_ACCOUNT!$B$5:$B$16,0))</f>
        <v>0</v>
      </c>
      <c r="F12" s="24" t="n">
        <f aca="false">SUMIFS(05_PAYMENT_TRANSACTION!$I$5:$I$28,05_PAYMENT_TRANSACTION!$B$5:$B$28,$A12)-SUMIFS(05_PAYMENT_TRANSACTION!$G$5:$G$28,05_PAYMENT_TRANSACTION!$B$5:$B$28,$A12)</f>
        <v>0</v>
      </c>
      <c r="G12" s="11" t="str">
        <f aca="false">IF(E12=F12,"일치","불일치")</f>
        <v>일치</v>
      </c>
    </row>
    <row r="13" customFormat="false" ht="15" hidden="false" customHeight="false" outlineLevel="0" collapsed="false">
      <c r="A13" s="11" t="n">
        <v>5000009</v>
      </c>
      <c r="B13" s="24" t="n">
        <f aca="false">INDEX(02_LOCAL_ACCOUNT!$E$5:$E$16,MATCH($A13,02_LOCAL_ACCOUNT!$A$5:$A$16,0))</f>
        <v>30000</v>
      </c>
      <c r="C13" s="24" t="n">
        <f aca="false">SUMIFS(04_RECHARGE_TRANSACTION!$D$5:$D$17,04_RECHARGE_TRANSACTION!$B$5:$B$17,$A13)-SUMIFS(05_PAYMENT_TRANSACTION!$H$5:$H$28,05_PAYMENT_TRANSACTION!$B$5:$B$28,$A13)</f>
        <v>30000</v>
      </c>
      <c r="D13" s="11" t="str">
        <f aca="false">IF(B13=C13,"일치","불일치")</f>
        <v>일치</v>
      </c>
      <c r="E13" s="24" t="n">
        <f aca="false">INDEX(03_CASHBACK_ACCOUNT!$C$5:$C$16,MATCH($A13,03_CASHBACK_ACCOUNT!$B$5:$B$16,0))</f>
        <v>1400</v>
      </c>
      <c r="F13" s="24" t="n">
        <f aca="false">SUMIFS(05_PAYMENT_TRANSACTION!$I$5:$I$28,05_PAYMENT_TRANSACTION!$B$5:$B$28,$A13)-SUMIFS(05_PAYMENT_TRANSACTION!$G$5:$G$28,05_PAYMENT_TRANSACTION!$B$5:$B$28,$A13)</f>
        <v>1400</v>
      </c>
      <c r="G13" s="11" t="str">
        <f aca="false">IF(E13=F13,"일치","불일치")</f>
        <v>일치</v>
      </c>
    </row>
    <row r="14" customFormat="false" ht="15" hidden="false" customHeight="false" outlineLevel="0" collapsed="false">
      <c r="A14" s="11" t="n">
        <v>5000010</v>
      </c>
      <c r="B14" s="24" t="n">
        <f aca="false">INDEX(02_LOCAL_ACCOUNT!$E$5:$E$16,MATCH($A14,02_LOCAL_ACCOUNT!$A$5:$A$16,0))</f>
        <v>100000</v>
      </c>
      <c r="C14" s="24" t="n">
        <f aca="false">SUMIFS(04_RECHARGE_TRANSACTION!$D$5:$D$17,04_RECHARGE_TRANSACTION!$B$5:$B$17,$A14)-SUMIFS(05_PAYMENT_TRANSACTION!$H$5:$H$28,05_PAYMENT_TRANSACTION!$B$5:$B$28,$A14)</f>
        <v>100000</v>
      </c>
      <c r="D14" s="11" t="str">
        <f aca="false">IF(B14=C14,"일치","불일치")</f>
        <v>일치</v>
      </c>
      <c r="E14" s="24" t="n">
        <f aca="false">INDEX(03_CASHBACK_ACCOUNT!$C$5:$C$16,MATCH($A14,03_CASHBACK_ACCOUNT!$B$5:$B$16,0))</f>
        <v>0</v>
      </c>
      <c r="F14" s="24" t="n">
        <f aca="false">SUMIFS(05_PAYMENT_TRANSACTION!$I$5:$I$28,05_PAYMENT_TRANSACTION!$B$5:$B$28,$A14)-SUMIFS(05_PAYMENT_TRANSACTION!$G$5:$G$28,05_PAYMENT_TRANSACTION!$B$5:$B$28,$A14)</f>
        <v>0</v>
      </c>
      <c r="G14" s="11" t="str">
        <f aca="false">IF(E14=F14,"일치","불일치")</f>
        <v>일치</v>
      </c>
    </row>
    <row r="15" customFormat="false" ht="15" hidden="false" customHeight="false" outlineLevel="0" collapsed="false">
      <c r="A15" s="11" t="n">
        <v>5000011</v>
      </c>
      <c r="B15" s="24" t="n">
        <f aca="false">INDEX(02_LOCAL_ACCOUNT!$E$5:$E$16,MATCH($A15,02_LOCAL_ACCOUNT!$A$5:$A$16,0))</f>
        <v>136403</v>
      </c>
      <c r="C15" s="24" t="n">
        <f aca="false">SUMIFS(04_RECHARGE_TRANSACTION!$D$5:$D$17,04_RECHARGE_TRANSACTION!$B$5:$B$17,$A15)-SUMIFS(05_PAYMENT_TRANSACTION!$H$5:$H$28,05_PAYMENT_TRANSACTION!$B$5:$B$28,$A15)</f>
        <v>136403</v>
      </c>
      <c r="D15" s="11" t="str">
        <f aca="false">IF(B15=C15,"일치","불일치")</f>
        <v>일치</v>
      </c>
      <c r="E15" s="24" t="n">
        <f aca="false">INDEX(03_CASHBACK_ACCOUNT!$C$5:$C$16,MATCH($A15,03_CASHBACK_ACCOUNT!$B$5:$B$16,0))</f>
        <v>2684</v>
      </c>
      <c r="F15" s="24" t="n">
        <f aca="false">SUMIFS(05_PAYMENT_TRANSACTION!$I$5:$I$28,05_PAYMENT_TRANSACTION!$B$5:$B$28,$A15)-SUMIFS(05_PAYMENT_TRANSACTION!$G$5:$G$28,05_PAYMENT_TRANSACTION!$B$5:$B$28,$A15)</f>
        <v>2684</v>
      </c>
      <c r="G15" s="11" t="str">
        <f aca="false">IF(E15=F15,"일치","불일치")</f>
        <v>일치</v>
      </c>
    </row>
    <row r="16" customFormat="false" ht="15" hidden="false" customHeight="false" outlineLevel="0" collapsed="false">
      <c r="A16" s="11" t="n">
        <v>5000012</v>
      </c>
      <c r="B16" s="24" t="n">
        <f aca="false">INDEX(02_LOCAL_ACCOUNT!$E$5:$E$16,MATCH($A16,02_LOCAL_ACCOUNT!$A$5:$A$16,0))</f>
        <v>110000</v>
      </c>
      <c r="C16" s="24" t="n">
        <f aca="false">SUMIFS(04_RECHARGE_TRANSACTION!$D$5:$D$17,04_RECHARGE_TRANSACTION!$B$5:$B$17,$A16)-SUMIFS(05_PAYMENT_TRANSACTION!$H$5:$H$28,05_PAYMENT_TRANSACTION!$B$5:$B$28,$A16)</f>
        <v>110000</v>
      </c>
      <c r="D16" s="11" t="str">
        <f aca="false">IF(B16=C16,"일치","불일치")</f>
        <v>일치</v>
      </c>
      <c r="E16" s="24" t="n">
        <f aca="false">INDEX(03_CASHBACK_ACCOUNT!$C$5:$C$16,MATCH($A16,03_CASHBACK_ACCOUNT!$B$5:$B$16,0))</f>
        <v>3200</v>
      </c>
      <c r="F16" s="24" t="n">
        <f aca="false">SUMIFS(05_PAYMENT_TRANSACTION!$I$5:$I$28,05_PAYMENT_TRANSACTION!$B$5:$B$28,$A16)-SUMIFS(05_PAYMENT_TRANSACTION!$G$5:$G$28,05_PAYMENT_TRANSACTION!$B$5:$B$28,$A16)</f>
        <v>3200</v>
      </c>
      <c r="G16" s="11" t="str">
        <f aca="false">IF(E16=F16,"일치","불일치")</f>
        <v>일치</v>
      </c>
    </row>
    <row r="17" customFormat="false" ht="15" hidden="false" customHeight="false" outlineLevel="0" collapsed="false">
      <c r="A17" s="2" t="s">
        <v>367</v>
      </c>
      <c r="D17" s="25" t="str">
        <f aca="false">IF(COUNTIF(D5:D16,"불일치")=0,"ALL PASS","FAIL")</f>
        <v>ALL PASS</v>
      </c>
      <c r="G17" s="25" t="str">
        <f aca="false">IF(COUNTIF(G5:G16,"불일치")=0,"ALL PASS","FAIL")</f>
        <v>ALL PASS</v>
      </c>
    </row>
    <row r="19" customFormat="false" ht="15" hidden="false" customHeight="false" outlineLevel="0" collapsed="false">
      <c r="A19" s="5" t="s">
        <v>368</v>
      </c>
    </row>
    <row r="20" customFormat="false" ht="15" hidden="false" customHeight="false" outlineLevel="0" collapsed="false">
      <c r="A20" s="6" t="s">
        <v>110</v>
      </c>
      <c r="B20" s="6" t="s">
        <v>369</v>
      </c>
      <c r="C20" s="6" t="s">
        <v>370</v>
      </c>
      <c r="D20" s="2" t="s">
        <v>371</v>
      </c>
    </row>
    <row r="21" customFormat="false" ht="15" hidden="false" customHeight="false" outlineLevel="0" collapsed="false">
      <c r="A21" s="11" t="s">
        <v>120</v>
      </c>
      <c r="B21" s="24" t="n">
        <f aca="false">INDEX(06_BUDGET_MASTER!$D$5:$D$8,MATCH($A21,06_BUDGET_MASTER!$A$5:$A$8,0))</f>
        <v>16849</v>
      </c>
      <c r="C21" s="24" t="n">
        <f aca="false">SUMPRODUCT(05_PAYMENT_TRANSACTION!$I$5:$I$28*(COUNTIFS(02_LOCAL_ACCOUNT!$A$5:$A$16,05_PAYMENT_TRANSACTION!$B$5:$B$28,02_LOCAL_ACCOUNT!$C$5:$C$16,$A21)&gt;0))</f>
        <v>16849</v>
      </c>
      <c r="D21" s="11" t="str">
        <f aca="false">IF(B21=C21,"일치","불일치")</f>
        <v>일치</v>
      </c>
    </row>
    <row r="22" customFormat="false" ht="15" hidden="false" customHeight="false" outlineLevel="0" collapsed="false">
      <c r="A22" s="11" t="s">
        <v>124</v>
      </c>
      <c r="B22" s="24" t="n">
        <f aca="false">INDEX(06_BUDGET_MASTER!$D$5:$D$8,MATCH($A22,06_BUDGET_MASTER!$A$5:$A$8,0))</f>
        <v>42200</v>
      </c>
      <c r="C22" s="24" t="n">
        <f aca="false">SUMPRODUCT(05_PAYMENT_TRANSACTION!$I$5:$I$28*(COUNTIFS(02_LOCAL_ACCOUNT!$A$5:$A$16,05_PAYMENT_TRANSACTION!$B$5:$B$28,02_LOCAL_ACCOUNT!$C$5:$C$16,$A22)&gt;0))</f>
        <v>42200</v>
      </c>
      <c r="D22" s="11" t="str">
        <f aca="false">IF(B22=C22,"일치","불일치")</f>
        <v>일치</v>
      </c>
    </row>
    <row r="23" customFormat="false" ht="15" hidden="false" customHeight="false" outlineLevel="0" collapsed="false">
      <c r="A23" s="11" t="s">
        <v>126</v>
      </c>
      <c r="B23" s="24" t="n">
        <f aca="false">INDEX(06_BUDGET_MASTER!$D$5:$D$8,MATCH($A23,06_BUDGET_MASTER!$A$5:$A$8,0))</f>
        <v>12287</v>
      </c>
      <c r="C23" s="24" t="n">
        <f aca="false">SUMPRODUCT(05_PAYMENT_TRANSACTION!$I$5:$I$28*(COUNTIFS(02_LOCAL_ACCOUNT!$A$5:$A$16,05_PAYMENT_TRANSACTION!$B$5:$B$28,02_LOCAL_ACCOUNT!$C$5:$C$16,$A23)&gt;0))</f>
        <v>12287</v>
      </c>
      <c r="D23" s="11" t="str">
        <f aca="false">IF(B23=C23,"일치","불일치")</f>
        <v>일치</v>
      </c>
    </row>
    <row r="24" customFormat="false" ht="15" hidden="false" customHeight="false" outlineLevel="0" collapsed="false">
      <c r="A24" s="11" t="s">
        <v>122</v>
      </c>
      <c r="B24" s="24" t="n">
        <f aca="false">INDEX(06_BUDGET_MASTER!$D$5:$D$8,MATCH($A24,06_BUDGET_MASTER!$A$5:$A$8,0))</f>
        <v>18468</v>
      </c>
      <c r="C24" s="24" t="n">
        <f aca="false">SUMPRODUCT(05_PAYMENT_TRANSACTION!$I$5:$I$28*(COUNTIFS(02_LOCAL_ACCOUNT!$A$5:$A$16,05_PAYMENT_TRANSACTION!$B$5:$B$28,02_LOCAL_ACCOUNT!$C$5:$C$16,$A24)&gt;0))</f>
        <v>18468</v>
      </c>
      <c r="D24" s="11" t="str">
        <f aca="false">IF(B24=C24,"일치","불일치")</f>
        <v>일치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2026-09-17T06:10:09Z</dcterms:created>
  <dc:creator>openpyxl</dc:creator>
  <dc:description/>
  <dc:language>en-US</dc:language>
  <cp:lastModifiedBy/>
  <dcterms:modified xsi:type="dcterms:W3CDTF">2026-09-17T06:10:09Z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